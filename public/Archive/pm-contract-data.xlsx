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<sst xmlns="http://schemas.openxmlformats.org/spreadsheetml/2006/main" count="60" uniqueCount="18">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</sst>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Alignment="1" applyFont="1" applyNumberFormat="1">
      <alignment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ill="1" applyFont="1" applyNumberFormat="1"/>
    <xf borderId="0" fillId="2" fontId="2" numFmtId="10" xfId="0" applyAlignment="1" applyFill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0.1515</v>
      </c>
      <c r="T5" s="11"/>
      <c r="U5" s="9"/>
      <c r="V5" s="9"/>
      <c r="W5" s="9"/>
      <c r="X5" s="9"/>
      <c r="Y5" s="9"/>
      <c r="Z5" s="8">
        <f t="shared" si="2"/>
        <v>0.2543333333</v>
      </c>
    </row>
    <row r="6" ht="15.75" customHeight="1">
      <c r="A6" s="3" t="s">
        <v>6</v>
      </c>
      <c r="B6" s="12">
        <v>0.5714</v>
      </c>
      <c r="C6" s="12">
        <v>0.4167</v>
      </c>
      <c r="D6" s="12">
        <v>0.3182</v>
      </c>
      <c r="E6" s="12">
        <v>0.3333</v>
      </c>
      <c r="F6" s="12">
        <v>0.3429</v>
      </c>
      <c r="G6" s="12">
        <v>0.4348</v>
      </c>
      <c r="H6" s="12">
        <v>0.4468</v>
      </c>
      <c r="I6" s="12">
        <v>0.3462</v>
      </c>
      <c r="J6" s="12">
        <v>0.2456</v>
      </c>
      <c r="K6" s="12">
        <v>0.2203</v>
      </c>
      <c r="L6" s="12">
        <v>0.2537</v>
      </c>
      <c r="M6" s="12">
        <v>0.2593</v>
      </c>
      <c r="N6" s="12">
        <v>0.2368</v>
      </c>
      <c r="O6" s="12">
        <v>0.2308</v>
      </c>
      <c r="P6" s="12">
        <v>0.2</v>
      </c>
      <c r="Q6" s="12">
        <v>0.3393</v>
      </c>
      <c r="R6" s="12">
        <v>0.3426</v>
      </c>
      <c r="S6" s="12">
        <v>0.2745</v>
      </c>
      <c r="T6" s="13">
        <v>0.127</v>
      </c>
      <c r="U6" s="13">
        <v>0.1452</v>
      </c>
      <c r="V6" s="12"/>
      <c r="W6" s="12"/>
      <c r="X6" s="12"/>
      <c r="Y6" s="12"/>
      <c r="Z6" s="12">
        <f t="shared" si="2"/>
        <v>0.237025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4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4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4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3">
        <v>0.16</v>
      </c>
      <c r="T13" s="15"/>
      <c r="W13" s="16"/>
      <c r="X13" s="12"/>
      <c r="Y13" s="12"/>
      <c r="Z13" s="12"/>
    </row>
    <row r="14" ht="15.75" customHeight="1">
      <c r="A14" s="3" t="s">
        <v>6</v>
      </c>
      <c r="B14" s="12"/>
      <c r="C14" s="12">
        <v>0.5161</v>
      </c>
      <c r="D14" s="12">
        <v>0.3333</v>
      </c>
      <c r="E14" s="12">
        <v>0.34</v>
      </c>
      <c r="F14" s="12">
        <v>0.3521</v>
      </c>
      <c r="G14" s="12">
        <v>0.4125</v>
      </c>
      <c r="H14" s="12">
        <v>0.4321</v>
      </c>
      <c r="I14" s="12">
        <v>0.369</v>
      </c>
      <c r="J14" s="12">
        <v>0.3194</v>
      </c>
      <c r="K14" s="12">
        <v>0.2969</v>
      </c>
      <c r="L14" s="12">
        <v>0.32</v>
      </c>
      <c r="M14" s="12">
        <v>0.3205</v>
      </c>
      <c r="N14" s="12">
        <v>0.3571</v>
      </c>
      <c r="O14" s="12">
        <v>0.449</v>
      </c>
      <c r="P14" s="12">
        <v>0.4182</v>
      </c>
      <c r="Q14" s="12">
        <v>0.3269</v>
      </c>
      <c r="R14" s="12">
        <v>0.2711</v>
      </c>
      <c r="S14" s="12">
        <v>0.2339</v>
      </c>
      <c r="T14" s="13">
        <v>0.0787</v>
      </c>
      <c r="U14" s="13">
        <v>0.0698</v>
      </c>
      <c r="V14" s="12"/>
      <c r="W14" s="12"/>
      <c r="X14" s="12"/>
      <c r="Y14" s="12"/>
      <c r="Z14" s="12">
        <f>average(R14:Y14)</f>
        <v>0.163375</v>
      </c>
    </row>
    <row r="15" ht="15.75" customHeight="1">
      <c r="S15" s="12"/>
      <c r="T15" s="17"/>
      <c r="U15" s="12"/>
      <c r="V15" s="12"/>
      <c r="W15" s="12"/>
      <c r="X15" s="12"/>
      <c r="Y15" s="12"/>
      <c r="Z15" s="12"/>
    </row>
    <row r="16" ht="15.75" customHeight="1">
      <c r="S16" s="12"/>
      <c r="T16" s="12"/>
      <c r="U16" s="12"/>
      <c r="V16" s="12"/>
      <c r="W16" s="12"/>
      <c r="X16" s="12"/>
      <c r="Y16" s="12"/>
      <c r="Z16" s="12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2"/>
      <c r="S21" s="13">
        <v>0.1</v>
      </c>
      <c r="T21" s="12"/>
      <c r="U21" s="12"/>
      <c r="V21" s="12"/>
      <c r="W21" s="12"/>
      <c r="X21" s="12"/>
      <c r="Y21" s="12"/>
      <c r="Z21" s="3"/>
    </row>
    <row r="22" ht="15.75" customHeight="1">
      <c r="A22" s="3" t="s">
        <v>6</v>
      </c>
      <c r="B22" s="12"/>
      <c r="C22" s="12"/>
      <c r="D22" s="12"/>
      <c r="E22" s="12">
        <v>0.5</v>
      </c>
      <c r="F22" s="12">
        <v>0.5625</v>
      </c>
      <c r="G22" s="12">
        <v>0.5714</v>
      </c>
      <c r="H22" s="12">
        <v>0.4815</v>
      </c>
      <c r="I22" s="12">
        <v>0.4634</v>
      </c>
      <c r="J22" s="12">
        <v>0.4898</v>
      </c>
      <c r="K22" s="12">
        <v>0.463</v>
      </c>
      <c r="L22" s="12">
        <v>0.377</v>
      </c>
      <c r="M22" s="12">
        <v>0.3387</v>
      </c>
      <c r="N22" s="12">
        <v>0.3265</v>
      </c>
      <c r="O22" s="12">
        <v>0.3056</v>
      </c>
      <c r="P22" s="12">
        <v>0.2075</v>
      </c>
      <c r="Q22" s="12">
        <v>0.2615</v>
      </c>
      <c r="R22" s="12">
        <v>0.232</v>
      </c>
      <c r="S22" s="12">
        <v>0.1443</v>
      </c>
      <c r="T22" s="13">
        <v>0.1029</v>
      </c>
      <c r="U22" s="13">
        <v>0.1129</v>
      </c>
      <c r="V22" s="12"/>
      <c r="W22" s="12"/>
      <c r="X22" s="12"/>
      <c r="Y22" s="12"/>
      <c r="Z22" s="12">
        <f>average(R22:Y22)</f>
        <v>0.148025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4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5"/>
      <c r="W28" s="14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2"/>
      <c r="S29" s="13">
        <v>0.1111</v>
      </c>
      <c r="T29" s="17"/>
      <c r="U29" s="12"/>
      <c r="V29" s="12"/>
      <c r="W29" s="12"/>
      <c r="X29" s="12"/>
      <c r="Y29" s="12"/>
      <c r="Z29" s="3"/>
    </row>
    <row r="30" ht="15.75" customHeight="1">
      <c r="A30" s="3" t="s">
        <v>6</v>
      </c>
      <c r="B30" s="12"/>
      <c r="C30" s="12">
        <v>0.1333</v>
      </c>
      <c r="D30" s="12">
        <v>0.1667</v>
      </c>
      <c r="E30" s="12">
        <v>0.3514</v>
      </c>
      <c r="F30" s="12">
        <v>0.375</v>
      </c>
      <c r="G30" s="12">
        <v>0.3778</v>
      </c>
      <c r="H30" s="12">
        <v>0.3226</v>
      </c>
      <c r="I30" s="12">
        <v>0.4359</v>
      </c>
      <c r="J30" s="12">
        <v>0.4286</v>
      </c>
      <c r="K30" s="12">
        <v>0.4366</v>
      </c>
      <c r="L30" s="12">
        <v>0.3457</v>
      </c>
      <c r="M30" s="12">
        <v>0.3222</v>
      </c>
      <c r="N30" s="12">
        <v>0.2568</v>
      </c>
      <c r="O30" s="12">
        <v>0.1905</v>
      </c>
      <c r="P30" s="12">
        <v>0.2281</v>
      </c>
      <c r="Q30" s="12">
        <v>0.3243</v>
      </c>
      <c r="R30" s="12">
        <v>0.3297</v>
      </c>
      <c r="S30" s="12">
        <v>0.2308</v>
      </c>
      <c r="T30" s="13">
        <v>0.0784</v>
      </c>
      <c r="U30" s="13">
        <v>0.1034</v>
      </c>
      <c r="V30" s="12"/>
      <c r="W30" s="12"/>
      <c r="X30" s="12"/>
      <c r="Y30" s="12"/>
      <c r="Z30" s="12">
        <f>average(R30:Y30)</f>
        <v>0.185575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4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2">
        <v>0.0606</v>
      </c>
      <c r="S37" s="13"/>
      <c r="T37" s="12"/>
      <c r="U37" s="12"/>
      <c r="V37" s="12"/>
      <c r="W37" s="12"/>
      <c r="X37" s="12"/>
      <c r="Y37" s="12"/>
      <c r="Z37" s="3"/>
    </row>
    <row r="38" ht="15.75" customHeight="1">
      <c r="A38" s="3" t="s">
        <v>6</v>
      </c>
      <c r="B38" s="12">
        <v>0.4375</v>
      </c>
      <c r="C38" s="12">
        <v>0.4</v>
      </c>
      <c r="D38" s="12">
        <v>0.4</v>
      </c>
      <c r="E38" s="12">
        <v>0.4</v>
      </c>
      <c r="F38" s="12">
        <v>0.4167</v>
      </c>
      <c r="G38" s="12">
        <v>0.4</v>
      </c>
      <c r="H38" s="12">
        <v>0.4211</v>
      </c>
      <c r="I38" s="12">
        <v>0.451</v>
      </c>
      <c r="J38" s="12">
        <v>0.5161</v>
      </c>
      <c r="K38" s="12">
        <v>0.5128</v>
      </c>
      <c r="L38" s="12">
        <v>0.3913</v>
      </c>
      <c r="M38" s="12">
        <v>0.46</v>
      </c>
      <c r="N38" s="12">
        <v>0.325</v>
      </c>
      <c r="O38" s="12">
        <v>0.3333</v>
      </c>
      <c r="P38" s="12">
        <v>0.2564</v>
      </c>
      <c r="Q38" s="12">
        <v>0.3238</v>
      </c>
      <c r="R38" s="12">
        <v>0.2432</v>
      </c>
      <c r="S38" s="12">
        <v>0.1974</v>
      </c>
      <c r="T38" s="13">
        <v>0.1667</v>
      </c>
      <c r="U38" s="13">
        <v>0.5</v>
      </c>
      <c r="V38" s="12"/>
      <c r="W38" s="12"/>
      <c r="X38" s="12"/>
      <c r="Y38" s="12"/>
      <c r="Z38" s="12">
        <f>average(R38:Y38)</f>
        <v>0.276825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4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8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3">
        <v>0.0714</v>
      </c>
      <c r="T45" s="12"/>
      <c r="U45" s="12"/>
      <c r="V45" s="12"/>
      <c r="W45" s="12"/>
      <c r="X45" s="12"/>
      <c r="Y45" s="12"/>
      <c r="Z45" s="12"/>
    </row>
    <row r="46" ht="15.75" customHeight="1">
      <c r="A46" s="3" t="s">
        <v>6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>
        <v>0.1111</v>
      </c>
      <c r="Q46" s="12">
        <v>0.2828</v>
      </c>
      <c r="R46" s="12">
        <v>0.2667</v>
      </c>
      <c r="S46" s="12">
        <v>0.1705</v>
      </c>
      <c r="T46" s="13">
        <v>0.0263</v>
      </c>
      <c r="U46" s="13">
        <v>0.0263</v>
      </c>
      <c r="V46" s="12"/>
      <c r="W46" s="12"/>
      <c r="X46" s="12"/>
      <c r="Y46" s="12"/>
      <c r="Z46" s="12">
        <f>average(R46:Y46)</f>
        <v>0.12245</v>
      </c>
    </row>
    <row r="47" ht="15.75" customHeight="1">
      <c r="Q47" s="12"/>
      <c r="R47" s="12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3">
        <v>0.122</v>
      </c>
      <c r="T53" s="12"/>
      <c r="U53" s="12"/>
      <c r="V53" s="12"/>
      <c r="W53" s="12"/>
      <c r="X53" s="12"/>
      <c r="Y53" s="12"/>
      <c r="Z53" s="12"/>
    </row>
    <row r="54" ht="15.75" customHeight="1">
      <c r="A54" s="3" t="s">
        <v>6</v>
      </c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>
        <v>0.2727</v>
      </c>
      <c r="R54" s="12">
        <v>0.296</v>
      </c>
      <c r="S54" s="12">
        <v>0.192</v>
      </c>
      <c r="T54" s="13">
        <v>0.1226</v>
      </c>
      <c r="U54" s="13">
        <v>0.1215</v>
      </c>
      <c r="V54" s="12"/>
      <c r="W54" s="12"/>
      <c r="X54" s="12"/>
      <c r="Y54" s="12"/>
      <c r="Z54" s="12">
        <f>average(R54:Y54)</f>
        <v>0.183025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4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3"/>
    </row>
    <row r="62" ht="15.75" customHeight="1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9"/>
      <c r="T65" s="19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20">
        <f t="shared" ref="B67:R67" si="11">AVERAGE(B59,B51,B43,B35,B27,B19,B11,B3)</f>
        <v>2</v>
      </c>
      <c r="C67" s="20">
        <f t="shared" si="11"/>
        <v>1.75</v>
      </c>
      <c r="D67" s="20">
        <f t="shared" si="11"/>
        <v>4</v>
      </c>
      <c r="E67" s="20">
        <f t="shared" si="11"/>
        <v>4.6</v>
      </c>
      <c r="F67" s="20">
        <f t="shared" si="11"/>
        <v>7.4</v>
      </c>
      <c r="G67" s="20">
        <f t="shared" si="11"/>
        <v>12</v>
      </c>
      <c r="H67" s="20">
        <f t="shared" si="11"/>
        <v>8.2</v>
      </c>
      <c r="I67" s="20">
        <f t="shared" si="11"/>
        <v>6.4</v>
      </c>
      <c r="J67" s="20">
        <f t="shared" si="11"/>
        <v>7.2</v>
      </c>
      <c r="K67" s="20">
        <f t="shared" si="11"/>
        <v>14.2</v>
      </c>
      <c r="L67" s="20">
        <f t="shared" si="11"/>
        <v>7</v>
      </c>
      <c r="M67" s="20">
        <f t="shared" si="11"/>
        <v>4</v>
      </c>
      <c r="N67" s="20">
        <f t="shared" si="11"/>
        <v>5.666666667</v>
      </c>
      <c r="O67" s="20">
        <f t="shared" si="11"/>
        <v>3.75</v>
      </c>
      <c r="P67" s="20">
        <f t="shared" si="11"/>
        <v>7.714285714</v>
      </c>
      <c r="Q67" s="20">
        <f t="shared" si="11"/>
        <v>16.85714286</v>
      </c>
      <c r="R67" s="20">
        <f t="shared" si="11"/>
        <v>12.28571429</v>
      </c>
      <c r="S67" s="3"/>
      <c r="T67" s="3"/>
      <c r="U67" s="3"/>
      <c r="V67" s="3"/>
      <c r="W67" s="3"/>
      <c r="X67" s="3"/>
      <c r="Y67" s="3"/>
      <c r="Z67" s="20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2">
        <f t="shared" ref="B69:S69" si="13">average(B53,B45,B37,B29,B21,B13,B5)</f>
        <v>0.3444333333</v>
      </c>
      <c r="C69" s="12">
        <f t="shared" si="13"/>
        <v>0.309525</v>
      </c>
      <c r="D69" s="12">
        <f t="shared" si="13"/>
        <v>0.42125</v>
      </c>
      <c r="E69" s="12">
        <f t="shared" si="13"/>
        <v>0.42478</v>
      </c>
      <c r="F69" s="12">
        <f t="shared" si="13"/>
        <v>0.40488</v>
      </c>
      <c r="G69" s="12">
        <f t="shared" si="13"/>
        <v>0.45414</v>
      </c>
      <c r="H69" s="12">
        <f t="shared" si="13"/>
        <v>0.40556</v>
      </c>
      <c r="I69" s="12">
        <f t="shared" si="13"/>
        <v>0.31688</v>
      </c>
      <c r="J69" s="12">
        <f t="shared" si="13"/>
        <v>0.41248</v>
      </c>
      <c r="K69" s="12">
        <f t="shared" si="13"/>
        <v>0.29162</v>
      </c>
      <c r="L69" s="12">
        <f t="shared" si="13"/>
        <v>0.35694</v>
      </c>
      <c r="M69" s="12">
        <f t="shared" si="13"/>
        <v>0.3687333333</v>
      </c>
      <c r="N69" s="12">
        <f t="shared" si="13"/>
        <v>0.26642</v>
      </c>
      <c r="O69" s="12">
        <f t="shared" si="13"/>
        <v>0.2291666667</v>
      </c>
      <c r="P69" s="12">
        <f t="shared" si="13"/>
        <v>0.3634</v>
      </c>
      <c r="Q69" s="12">
        <f t="shared" si="13"/>
        <v>0.2847571429</v>
      </c>
      <c r="R69" s="12">
        <f t="shared" si="13"/>
        <v>0.15246</v>
      </c>
      <c r="S69" s="12">
        <f t="shared" si="13"/>
        <v>0.1193333333</v>
      </c>
      <c r="T69" s="12"/>
      <c r="U69" s="3"/>
      <c r="V69" s="3"/>
      <c r="W69" s="3"/>
      <c r="X69" s="3"/>
      <c r="Y69" s="3"/>
      <c r="Z69" s="12">
        <f>average(R69:Y69)</f>
        <v>0.1358966667</v>
      </c>
    </row>
    <row r="70" ht="15.75" customHeight="1">
      <c r="A70" s="3" t="s">
        <v>16</v>
      </c>
      <c r="B70" s="12">
        <f t="shared" ref="B70:U70" si="14">AVERAGE(B54,B46,B38,B30,B22,B14,B6)</f>
        <v>0.50445</v>
      </c>
      <c r="C70" s="12">
        <f t="shared" si="14"/>
        <v>0.366525</v>
      </c>
      <c r="D70" s="12">
        <f t="shared" si="14"/>
        <v>0.30455</v>
      </c>
      <c r="E70" s="12">
        <f t="shared" si="14"/>
        <v>0.38494</v>
      </c>
      <c r="F70" s="12">
        <f t="shared" si="14"/>
        <v>0.40984</v>
      </c>
      <c r="G70" s="12">
        <f t="shared" si="14"/>
        <v>0.4393</v>
      </c>
      <c r="H70" s="12">
        <f t="shared" si="14"/>
        <v>0.42082</v>
      </c>
      <c r="I70" s="12">
        <f t="shared" si="14"/>
        <v>0.4131</v>
      </c>
      <c r="J70" s="12">
        <f t="shared" si="14"/>
        <v>0.3999</v>
      </c>
      <c r="K70" s="12">
        <f t="shared" si="14"/>
        <v>0.38592</v>
      </c>
      <c r="L70" s="12">
        <f t="shared" si="14"/>
        <v>0.33754</v>
      </c>
      <c r="M70" s="12">
        <f t="shared" si="14"/>
        <v>0.34014</v>
      </c>
      <c r="N70" s="12">
        <f t="shared" si="14"/>
        <v>0.30044</v>
      </c>
      <c r="O70" s="12">
        <f t="shared" si="14"/>
        <v>0.30184</v>
      </c>
      <c r="P70" s="12">
        <f t="shared" si="14"/>
        <v>0.2368833333</v>
      </c>
      <c r="Q70" s="12">
        <f t="shared" si="14"/>
        <v>0.3044714286</v>
      </c>
      <c r="R70" s="12">
        <f t="shared" si="14"/>
        <v>0.2830428571</v>
      </c>
      <c r="S70" s="12">
        <f t="shared" si="14"/>
        <v>0.2062</v>
      </c>
      <c r="T70" s="12">
        <f t="shared" si="14"/>
        <v>0.1003714286</v>
      </c>
      <c r="U70" s="12">
        <f t="shared" si="14"/>
        <v>0.1541571429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2"/>
    </row>
    <row r="80" ht="15.75" customHeight="1">
      <c r="B80" s="1"/>
      <c r="S80" s="12"/>
    </row>
    <row r="81" ht="15.75" customHeight="1">
      <c r="B81" s="1"/>
      <c r="S81" s="12"/>
    </row>
    <row r="82" ht="15.75" customHeight="1">
      <c r="B82" s="1"/>
      <c r="S82" s="12"/>
    </row>
    <row r="83" ht="15.75" customHeight="1">
      <c r="B83" s="1"/>
      <c r="S83" s="12"/>
    </row>
    <row r="84" ht="15.75" customHeight="1">
      <c r="B84" s="1"/>
      <c r="S84" s="12"/>
    </row>
    <row r="85" ht="15.75" customHeight="1">
      <c r="S85" s="12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2" t="str">
        <f t="shared" ref="C109:R109" si="15">average(C79:C84)</f>
        <v>#DIV/0!</v>
      </c>
      <c r="D109" s="12" t="str">
        <f t="shared" si="15"/>
        <v>#DIV/0!</v>
      </c>
      <c r="E109" s="12" t="str">
        <f t="shared" si="15"/>
        <v>#DIV/0!</v>
      </c>
      <c r="F109" s="12" t="str">
        <f t="shared" si="15"/>
        <v>#DIV/0!</v>
      </c>
      <c r="G109" s="12" t="str">
        <f t="shared" si="15"/>
        <v>#DIV/0!</v>
      </c>
      <c r="H109" s="12" t="str">
        <f t="shared" si="15"/>
        <v>#DIV/0!</v>
      </c>
      <c r="I109" s="12" t="str">
        <f t="shared" si="15"/>
        <v>#DIV/0!</v>
      </c>
      <c r="J109" s="12" t="str">
        <f t="shared" si="15"/>
        <v>#DIV/0!</v>
      </c>
      <c r="K109" s="12" t="str">
        <f t="shared" si="15"/>
        <v>#DIV/0!</v>
      </c>
      <c r="L109" s="12" t="str">
        <f t="shared" si="15"/>
        <v>#DIV/0!</v>
      </c>
      <c r="M109" s="12" t="str">
        <f t="shared" si="15"/>
        <v>#DIV/0!</v>
      </c>
      <c r="N109" s="12" t="str">
        <f t="shared" si="15"/>
        <v>#DIV/0!</v>
      </c>
      <c r="O109" s="12" t="str">
        <f t="shared" si="15"/>
        <v>#DIV/0!</v>
      </c>
      <c r="P109" s="12" t="str">
        <f t="shared" si="15"/>
        <v>#DIV/0!</v>
      </c>
      <c r="Q109" s="12" t="str">
        <f t="shared" si="15"/>
        <v>#DIV/0!</v>
      </c>
      <c r="R109" s="12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