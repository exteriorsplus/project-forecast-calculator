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<sst xmlns="http://schemas.openxmlformats.org/spreadsheetml/2006/main" count="64" uniqueCount="16">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</sst>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 ht="15.75" customHeight="1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 ht="15.75" customHeight="1">
      <c r="A5" s="3" t="s">
        <v>6</v>
      </c>
      <c r="B5" s="7">
        <v>0.3333</v>
      </c>
      <c r="C5" s="7">
        <v>0.3571</v>
      </c>
      <c r="D5" s="7">
        <v>0.3333</v>
      </c>
      <c r="E5" s="7">
        <v>0.375</v>
      </c>
      <c r="F5" s="7">
        <v>0.52</v>
      </c>
      <c r="G5" s="7">
        <v>0.3333</v>
      </c>
      <c r="H5" s="7">
        <v>0.1111</v>
      </c>
      <c r="I5" s="7">
        <v>0.28</v>
      </c>
      <c r="J5" s="7">
        <v>0.2353</v>
      </c>
      <c r="K5" s="7">
        <v>0.24</v>
      </c>
      <c r="L5" s="7">
        <v>0.3333</v>
      </c>
      <c r="M5" s="7"/>
      <c r="N5" s="7">
        <v>0.1818</v>
      </c>
      <c r="O5" s="7">
        <v>0.1538</v>
      </c>
      <c r="P5" s="7">
        <v>0.3333</v>
      </c>
      <c r="Q5" s="7">
        <v>0.38</v>
      </c>
      <c r="R5" s="7">
        <v>0.1</v>
      </c>
      <c r="S5" s="8">
        <v>0.0</v>
      </c>
      <c r="T5" s="7"/>
      <c r="U5" s="7"/>
      <c r="V5" s="7"/>
      <c r="W5" s="7"/>
      <c r="X5" s="7"/>
      <c r="Y5" s="7"/>
      <c r="Z5" s="7">
        <f t="shared" si="2"/>
        <v>0.1914833333</v>
      </c>
    </row>
    <row r="6" ht="15.75" customHeight="1"/>
    <row r="7" ht="15.75" customHeight="1"/>
    <row r="8" ht="15.75" customHeight="1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 ht="15.75" customHeight="1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9"/>
      <c r="Z9" s="5">
        <f t="shared" ref="Z9:Z10" si="3">sum(N9:Y9)</f>
        <v>658167.27</v>
      </c>
    </row>
    <row r="10" ht="15.75" customHeight="1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9"/>
      <c r="Z10" s="3">
        <f t="shared" si="3"/>
        <v>66</v>
      </c>
    </row>
    <row r="11" ht="15.75" customHeight="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9"/>
      <c r="Z11" s="5">
        <f>average(N11:Y11)</f>
        <v>9918.804</v>
      </c>
    </row>
    <row r="12" ht="15.75" customHeight="1">
      <c r="A12" s="3" t="s">
        <v>6</v>
      </c>
      <c r="B12" s="7">
        <v>0.5</v>
      </c>
      <c r="C12" s="7">
        <v>0.2381</v>
      </c>
      <c r="D12" s="7">
        <v>0.375</v>
      </c>
      <c r="E12" s="7">
        <v>0.4231</v>
      </c>
      <c r="F12" s="7">
        <v>0.4333</v>
      </c>
      <c r="G12" s="7">
        <v>0.4231</v>
      </c>
      <c r="H12" s="7">
        <v>0.25</v>
      </c>
      <c r="I12" s="7">
        <v>0.2632</v>
      </c>
      <c r="J12" s="7">
        <v>0.4211</v>
      </c>
      <c r="K12" s="7">
        <v>0.2973</v>
      </c>
      <c r="L12" s="7">
        <v>0.3182</v>
      </c>
      <c r="M12" s="7">
        <v>0.6429</v>
      </c>
      <c r="N12" s="7">
        <v>0.5385</v>
      </c>
      <c r="O12" s="7">
        <v>0.2759</v>
      </c>
      <c r="P12" s="7">
        <v>0.3</v>
      </c>
      <c r="Q12" s="7">
        <v>0.2373</v>
      </c>
      <c r="R12" s="7">
        <v>0.0244</v>
      </c>
      <c r="S12" s="8">
        <v>0.0714</v>
      </c>
      <c r="T12" s="10"/>
      <c r="W12" s="11"/>
      <c r="X12" s="7"/>
      <c r="Y12" s="7"/>
      <c r="Z12" s="7">
        <f>average(R12:Y12)</f>
        <v>0.0479</v>
      </c>
    </row>
    <row r="13" ht="15.75" customHeight="1">
      <c r="S13" s="7"/>
      <c r="T13" s="12"/>
      <c r="U13" s="7"/>
      <c r="V13" s="7"/>
      <c r="W13" s="7"/>
      <c r="X13" s="7"/>
      <c r="Y13" s="7"/>
      <c r="Z13" s="7"/>
    </row>
    <row r="14" ht="15.75" customHeight="1">
      <c r="S14" s="7"/>
      <c r="T14" s="7"/>
      <c r="U14" s="7"/>
      <c r="V14" s="7"/>
      <c r="W14" s="7"/>
      <c r="X14" s="7"/>
      <c r="Y14" s="7"/>
      <c r="Z14" s="7"/>
    </row>
    <row r="15" ht="15.75" customHeight="1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 ht="15.75" customHeight="1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 ht="15.75" customHeight="1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3">
        <f t="shared" si="4"/>
        <v>41</v>
      </c>
    </row>
    <row r="18" ht="15.75" customHeight="1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 ht="15.75" customHeight="1">
      <c r="A19" s="3" t="s">
        <v>6</v>
      </c>
      <c r="B19" s="7"/>
      <c r="C19" s="7"/>
      <c r="D19" s="7"/>
      <c r="E19" s="7">
        <v>0.6667</v>
      </c>
      <c r="F19" s="7">
        <v>0.4286</v>
      </c>
      <c r="G19" s="7">
        <v>0.4286</v>
      </c>
      <c r="H19" s="7">
        <v>0.5</v>
      </c>
      <c r="I19" s="7">
        <v>0.5333</v>
      </c>
      <c r="J19" s="7">
        <v>0.381</v>
      </c>
      <c r="K19" s="7">
        <v>0.2963</v>
      </c>
      <c r="L19" s="7">
        <v>0.3571</v>
      </c>
      <c r="M19" s="7">
        <v>0.33</v>
      </c>
      <c r="N19" s="7">
        <v>0.2308</v>
      </c>
      <c r="O19" s="7">
        <v>0.129</v>
      </c>
      <c r="P19" s="7">
        <v>0.3469</v>
      </c>
      <c r="Q19" s="7">
        <v>0.2</v>
      </c>
      <c r="R19" s="7"/>
      <c r="S19" s="8">
        <v>0.0</v>
      </c>
      <c r="T19" s="7"/>
      <c r="U19" s="7"/>
      <c r="V19" s="7"/>
      <c r="W19" s="7"/>
      <c r="X19" s="7"/>
      <c r="Y19" s="7"/>
      <c r="Z19" s="7">
        <f>average(R19:Y19)</f>
        <v>0</v>
      </c>
    </row>
    <row r="20" ht="15.75" customHeight="1"/>
    <row r="21" ht="15.75" customHeight="1"/>
    <row r="22" ht="15.75" customHeight="1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 ht="15.75" customHeight="1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 ht="15.75" customHeight="1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9"/>
      <c r="Z24" s="3">
        <f t="shared" si="5"/>
        <v>45</v>
      </c>
    </row>
    <row r="25" ht="15.75" customHeight="1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0"/>
      <c r="W25" s="9"/>
      <c r="Z25" s="5">
        <f>average(N25:Y25)</f>
        <v>3625.05</v>
      </c>
    </row>
    <row r="26" ht="15.75" customHeight="1">
      <c r="A26" s="3" t="s">
        <v>6</v>
      </c>
      <c r="B26" s="7"/>
      <c r="C26" s="7">
        <v>0.2143</v>
      </c>
      <c r="D26" s="7">
        <v>0.5556</v>
      </c>
      <c r="E26" s="7">
        <v>0.25</v>
      </c>
      <c r="F26" s="7">
        <v>0.2632</v>
      </c>
      <c r="G26" s="7">
        <v>0.3714</v>
      </c>
      <c r="H26" s="7">
        <v>0.6667</v>
      </c>
      <c r="I26" s="7">
        <v>0.2222</v>
      </c>
      <c r="J26" s="7">
        <v>0.4</v>
      </c>
      <c r="K26" s="7">
        <v>0.3636</v>
      </c>
      <c r="L26" s="7">
        <v>0.1852</v>
      </c>
      <c r="M26" s="7">
        <v>0.1333</v>
      </c>
      <c r="N26" s="7">
        <v>0.2381</v>
      </c>
      <c r="O26" s="7">
        <v>0.2308</v>
      </c>
      <c r="P26" s="7">
        <v>0.3636</v>
      </c>
      <c r="Q26" s="7">
        <v>0.2414</v>
      </c>
      <c r="R26" s="7"/>
      <c r="S26" s="8">
        <v>0.125</v>
      </c>
      <c r="T26" s="12"/>
      <c r="U26" s="7"/>
      <c r="V26" s="7"/>
      <c r="W26" s="7"/>
      <c r="X26" s="7"/>
      <c r="Y26" s="7"/>
      <c r="Z26" s="7">
        <f>average(R26:Y26)</f>
        <v>0.125</v>
      </c>
    </row>
    <row r="27" ht="15.75" customHeight="1"/>
    <row r="28" ht="15.75" customHeight="1"/>
    <row r="29" ht="15.75" customHeight="1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 ht="15.75" customHeight="1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9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 ht="15.75" customHeight="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3">
        <f t="shared" si="6"/>
        <v>35</v>
      </c>
    </row>
    <row r="32" ht="15.75" customHeight="1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 ht="15.75" customHeight="1">
      <c r="A33" s="3" t="s">
        <v>6</v>
      </c>
      <c r="B33" s="7">
        <v>0.2</v>
      </c>
      <c r="C33" s="7">
        <v>0.4286</v>
      </c>
      <c r="D33" s="7">
        <v>0.4211</v>
      </c>
      <c r="E33" s="7">
        <v>0.4091</v>
      </c>
      <c r="F33" s="7">
        <v>0.3793</v>
      </c>
      <c r="G33" s="7">
        <v>0.7143</v>
      </c>
      <c r="H33" s="7">
        <v>0.5</v>
      </c>
      <c r="I33" s="7">
        <v>0.2857</v>
      </c>
      <c r="J33" s="7">
        <v>0.625</v>
      </c>
      <c r="K33" s="7">
        <v>0.2609</v>
      </c>
      <c r="L33" s="7">
        <v>0.6364</v>
      </c>
      <c r="M33" s="7"/>
      <c r="N33" s="7">
        <v>0.1429</v>
      </c>
      <c r="O33" s="7">
        <v>0.2963</v>
      </c>
      <c r="P33" s="7">
        <v>0.2909</v>
      </c>
      <c r="Q33" s="7">
        <v>0.303</v>
      </c>
      <c r="R33" s="7"/>
      <c r="S33" s="8">
        <v>0.3333</v>
      </c>
      <c r="T33" s="7"/>
      <c r="U33" s="7"/>
      <c r="V33" s="7"/>
      <c r="W33" s="7"/>
      <c r="X33" s="7"/>
      <c r="Y33" s="7"/>
      <c r="Z33" s="7">
        <f>average(R33:Y33)</f>
        <v>0.3333</v>
      </c>
    </row>
    <row r="34" ht="15.75" customHeight="1"/>
    <row r="35" ht="15.75" customHeight="1"/>
    <row r="36" ht="15.75" customHeight="1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 ht="15.75" customHeight="1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 ht="15.75" customHeight="1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3">
        <f t="shared" si="7"/>
        <v>29</v>
      </c>
    </row>
    <row r="39" ht="15.75" customHeight="1">
      <c r="A39" s="3" t="s">
        <v>5</v>
      </c>
      <c r="L39" s="9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 ht="15.75" customHeight="1">
      <c r="A40" s="3" t="s">
        <v>6</v>
      </c>
      <c r="B40" s="7"/>
      <c r="C40" s="7"/>
      <c r="D40" s="7"/>
      <c r="E40" s="7"/>
      <c r="F40" s="7"/>
      <c r="G40" s="7"/>
      <c r="H40" s="7"/>
      <c r="I40" s="12"/>
      <c r="J40" s="7"/>
      <c r="K40" s="7"/>
      <c r="L40" s="7"/>
      <c r="M40" s="7"/>
      <c r="N40" s="7"/>
      <c r="O40" s="7">
        <v>0.1429</v>
      </c>
      <c r="P40" s="7">
        <v>0.3404</v>
      </c>
      <c r="Q40" s="7">
        <v>0.1957</v>
      </c>
      <c r="R40" s="7">
        <v>0.1111</v>
      </c>
      <c r="S40" s="8">
        <v>0.0</v>
      </c>
      <c r="T40" s="7"/>
      <c r="U40" s="7"/>
      <c r="V40" s="7"/>
      <c r="W40" s="7"/>
      <c r="X40" s="7"/>
      <c r="Y40" s="7"/>
      <c r="Z40" s="7">
        <f>average(R40:Y40)</f>
        <v>0.05555</v>
      </c>
    </row>
    <row r="41" ht="15.75" customHeight="1"/>
    <row r="42" ht="15.75" customHeight="1"/>
    <row r="43" ht="15.75" customHeight="1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 ht="15.75" customHeight="1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 ht="15.75" customHeight="1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3">
        <f t="shared" si="8"/>
        <v>30</v>
      </c>
    </row>
    <row r="46" ht="15.75" customHeight="1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 ht="15.75" customHeight="1">
      <c r="A47" s="3" t="s">
        <v>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>
        <v>0.3333</v>
      </c>
      <c r="Q47" s="7">
        <v>0.1818</v>
      </c>
      <c r="R47" s="7">
        <v>0.2059</v>
      </c>
      <c r="S47" s="8">
        <v>0.0</v>
      </c>
      <c r="T47" s="7"/>
      <c r="U47" s="7"/>
      <c r="V47" s="7"/>
      <c r="W47" s="7"/>
      <c r="X47" s="7"/>
      <c r="Y47" s="7"/>
      <c r="Z47" s="7">
        <f>average(R47:Y47)</f>
        <v>0.10295</v>
      </c>
    </row>
    <row r="48" ht="15.75" customHeight="1"/>
    <row r="49" ht="15.75" customHeight="1"/>
    <row r="50" ht="15.75" customHeight="1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 ht="15.75" customHeight="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9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 ht="15.75" customHeight="1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3">
        <f t="shared" si="9"/>
        <v>17</v>
      </c>
    </row>
    <row r="53" ht="15.75" customHeight="1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 ht="15.75" customHeight="1">
      <c r="A54" s="3" t="s">
        <v>6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3" t="str">
        <f>average(R54:Y54)</f>
        <v>#DIV/0!</v>
      </c>
    </row>
    <row r="55" ht="15.75" customHeight="1">
      <c r="B55" s="2">
        <v>45658.0</v>
      </c>
      <c r="C55" s="2">
        <v>45689.0</v>
      </c>
      <c r="D55" s="2">
        <v>45717.0</v>
      </c>
      <c r="E55" s="2">
        <v>45748.0</v>
      </c>
      <c r="F55" s="2">
        <v>45778.0</v>
      </c>
      <c r="G55" s="2">
        <v>45809.0</v>
      </c>
      <c r="H55" s="2">
        <v>45839.0</v>
      </c>
      <c r="I55" s="2">
        <v>45870.0</v>
      </c>
      <c r="J55" s="2">
        <v>45901.0</v>
      </c>
      <c r="K55" s="2">
        <v>45931.0</v>
      </c>
      <c r="L55" s="3" t="s">
        <v>1</v>
      </c>
      <c r="M55" s="2">
        <v>45992.0</v>
      </c>
      <c r="N55" s="2">
        <v>46023.0</v>
      </c>
      <c r="O55" s="2">
        <v>46054.0</v>
      </c>
      <c r="P55" s="2">
        <v>46082.0</v>
      </c>
      <c r="Q55" s="2">
        <v>46113.0</v>
      </c>
      <c r="R55" s="2">
        <v>46143.0</v>
      </c>
      <c r="S55" s="2">
        <v>46174.0</v>
      </c>
      <c r="T55" s="2">
        <v>46204.0</v>
      </c>
      <c r="U55" s="2">
        <v>46235.0</v>
      </c>
      <c r="V55" s="2">
        <v>46266.0</v>
      </c>
      <c r="W55" s="2">
        <v>46296.0</v>
      </c>
      <c r="X55" s="2">
        <v>46327.0</v>
      </c>
      <c r="Y55" s="2">
        <v>46357.0</v>
      </c>
      <c r="Z55" s="3" t="s">
        <v>2</v>
      </c>
    </row>
    <row r="56" ht="15.75" customHeight="1">
      <c r="A56" s="3" t="s">
        <v>3</v>
      </c>
      <c r="B56" s="5">
        <f t="shared" ref="B56:Y56" si="10">sum(B51,B44,B37,B30,B23,B16,B9,B2)</f>
        <v>89497.5</v>
      </c>
      <c r="C56" s="5">
        <f t="shared" si="10"/>
        <v>96780.4</v>
      </c>
      <c r="D56" s="5">
        <f t="shared" si="10"/>
        <v>266185.41</v>
      </c>
      <c r="E56" s="5">
        <f t="shared" si="10"/>
        <v>191108.77</v>
      </c>
      <c r="F56" s="5">
        <f t="shared" si="10"/>
        <v>478352.55</v>
      </c>
      <c r="G56" s="5">
        <f t="shared" si="10"/>
        <v>732280.47</v>
      </c>
      <c r="H56" s="5">
        <f t="shared" si="10"/>
        <v>684300.08</v>
      </c>
      <c r="I56" s="5">
        <f t="shared" si="10"/>
        <v>318537.92</v>
      </c>
      <c r="J56" s="5">
        <f t="shared" si="10"/>
        <v>337890.59</v>
      </c>
      <c r="K56" s="5">
        <f t="shared" si="10"/>
        <v>691198.5</v>
      </c>
      <c r="L56" s="5">
        <f t="shared" si="10"/>
        <v>265364.49</v>
      </c>
      <c r="M56" s="5">
        <f t="shared" si="10"/>
        <v>122687.55</v>
      </c>
      <c r="N56" s="5">
        <f t="shared" si="10"/>
        <v>165703.1</v>
      </c>
      <c r="O56" s="5">
        <f t="shared" si="10"/>
        <v>96916.54</v>
      </c>
      <c r="P56" s="5">
        <f t="shared" si="10"/>
        <v>368073.39</v>
      </c>
      <c r="Q56" s="5">
        <f t="shared" si="10"/>
        <v>1347302.95</v>
      </c>
      <c r="R56" s="5">
        <f t="shared" si="10"/>
        <v>1175433.54</v>
      </c>
      <c r="S56" s="13">
        <f t="shared" si="10"/>
        <v>0</v>
      </c>
      <c r="T56" s="13">
        <f t="shared" si="10"/>
        <v>0</v>
      </c>
      <c r="U56" s="3">
        <f t="shared" si="10"/>
        <v>0</v>
      </c>
      <c r="V56" s="3">
        <f t="shared" si="10"/>
        <v>0</v>
      </c>
      <c r="W56" s="3">
        <f t="shared" si="10"/>
        <v>0</v>
      </c>
      <c r="X56" s="3">
        <f t="shared" si="10"/>
        <v>0</v>
      </c>
      <c r="Y56" s="3">
        <f t="shared" si="10"/>
        <v>0</v>
      </c>
      <c r="Z56" s="5">
        <f>sum(N56:Y56)</f>
        <v>3153429.52</v>
      </c>
    </row>
    <row r="57" ht="15.75" customHeight="1">
      <c r="A57" s="3" t="s">
        <v>14</v>
      </c>
      <c r="B57" s="5">
        <f t="shared" ref="B57:Z57" si="11">average(B51,B44,B37,B30,B23,B16,B9,B2)</f>
        <v>44748.75</v>
      </c>
      <c r="C57" s="5">
        <f t="shared" si="11"/>
        <v>24195.1</v>
      </c>
      <c r="D57" s="5">
        <f t="shared" si="11"/>
        <v>53237.082</v>
      </c>
      <c r="E57" s="5">
        <f t="shared" si="11"/>
        <v>31851.46167</v>
      </c>
      <c r="F57" s="5">
        <f t="shared" si="11"/>
        <v>79725.425</v>
      </c>
      <c r="G57" s="5">
        <f t="shared" si="11"/>
        <v>146456.094</v>
      </c>
      <c r="H57" s="5">
        <f t="shared" si="11"/>
        <v>114050.0133</v>
      </c>
      <c r="I57" s="5">
        <f t="shared" si="11"/>
        <v>53089.65333</v>
      </c>
      <c r="J57" s="5">
        <f t="shared" si="11"/>
        <v>67578.118</v>
      </c>
      <c r="K57" s="5">
        <f t="shared" si="11"/>
        <v>138239.7</v>
      </c>
      <c r="L57" s="5">
        <f t="shared" si="11"/>
        <v>53072.898</v>
      </c>
      <c r="M57" s="5">
        <f t="shared" si="11"/>
        <v>20447.925</v>
      </c>
      <c r="N57" s="5">
        <f t="shared" si="11"/>
        <v>55234.36667</v>
      </c>
      <c r="O57" s="5">
        <f t="shared" si="11"/>
        <v>19383.308</v>
      </c>
      <c r="P57" s="5">
        <f t="shared" si="11"/>
        <v>46009.17375</v>
      </c>
      <c r="Q57" s="5">
        <f t="shared" si="11"/>
        <v>168412.8688</v>
      </c>
      <c r="R57" s="5">
        <f t="shared" si="11"/>
        <v>146929.1925</v>
      </c>
      <c r="S57" s="3" t="str">
        <f t="shared" si="11"/>
        <v>#DIV/0!</v>
      </c>
      <c r="T57" s="3" t="str">
        <f t="shared" si="11"/>
        <v>#DIV/0!</v>
      </c>
      <c r="U57" s="3" t="str">
        <f t="shared" si="11"/>
        <v>#DIV/0!</v>
      </c>
      <c r="V57" s="3" t="str">
        <f t="shared" si="11"/>
        <v>#DIV/0!</v>
      </c>
      <c r="W57" s="3" t="str">
        <f t="shared" si="11"/>
        <v>#DIV/0!</v>
      </c>
      <c r="X57" s="3" t="str">
        <f t="shared" si="11"/>
        <v>#DIV/0!</v>
      </c>
      <c r="Y57" s="3" t="str">
        <f t="shared" si="11"/>
        <v>#DIV/0!</v>
      </c>
      <c r="Z57" s="5">
        <f t="shared" si="11"/>
        <v>394178.69</v>
      </c>
    </row>
    <row r="58" ht="15.75" customHeight="1">
      <c r="A58" s="3" t="s">
        <v>4</v>
      </c>
      <c r="B58" s="14">
        <f t="shared" ref="B58:R58" si="12">AVERAGE(B52,B45,B38,B31,B24,B17,B10,B3)</f>
        <v>2</v>
      </c>
      <c r="C58" s="14">
        <f t="shared" si="12"/>
        <v>1.75</v>
      </c>
      <c r="D58" s="14">
        <f t="shared" si="12"/>
        <v>3.4</v>
      </c>
      <c r="E58" s="14">
        <f t="shared" si="12"/>
        <v>4</v>
      </c>
      <c r="F58" s="14">
        <f t="shared" si="12"/>
        <v>6.5</v>
      </c>
      <c r="G58" s="14">
        <f t="shared" si="12"/>
        <v>12</v>
      </c>
      <c r="H58" s="14">
        <f t="shared" si="12"/>
        <v>7.333333333</v>
      </c>
      <c r="I58" s="14">
        <f t="shared" si="12"/>
        <v>5.5</v>
      </c>
      <c r="J58" s="14">
        <f t="shared" si="12"/>
        <v>7.2</v>
      </c>
      <c r="K58" s="14">
        <f t="shared" si="12"/>
        <v>14.2</v>
      </c>
      <c r="L58" s="14">
        <f t="shared" si="12"/>
        <v>7</v>
      </c>
      <c r="M58" s="14">
        <f t="shared" si="12"/>
        <v>3.5</v>
      </c>
      <c r="N58" s="14">
        <f t="shared" si="12"/>
        <v>5.666666667</v>
      </c>
      <c r="O58" s="14">
        <f t="shared" si="12"/>
        <v>3.4</v>
      </c>
      <c r="P58" s="14">
        <f t="shared" si="12"/>
        <v>7.125</v>
      </c>
      <c r="Q58" s="14">
        <f t="shared" si="12"/>
        <v>15.875</v>
      </c>
      <c r="R58" s="14">
        <f t="shared" si="12"/>
        <v>11.125</v>
      </c>
      <c r="S58" s="3">
        <f t="shared" ref="S58:Y58" si="13">sum(S52,S45,S38,S31,S24,S17,S10,S3)</f>
        <v>0</v>
      </c>
      <c r="T58" s="3">
        <f t="shared" si="13"/>
        <v>0</v>
      </c>
      <c r="U58" s="3">
        <f t="shared" si="13"/>
        <v>0</v>
      </c>
      <c r="V58" s="3">
        <f t="shared" si="13"/>
        <v>0</v>
      </c>
      <c r="W58" s="3">
        <f t="shared" si="13"/>
        <v>0</v>
      </c>
      <c r="X58" s="3">
        <f t="shared" si="13"/>
        <v>0</v>
      </c>
      <c r="Y58" s="3">
        <f t="shared" si="13"/>
        <v>0</v>
      </c>
      <c r="Z58" s="14">
        <f>sum(N58:Y58)</f>
        <v>43.19166667</v>
      </c>
    </row>
    <row r="59" ht="15.75" customHeight="1">
      <c r="A59" s="3" t="s">
        <v>5</v>
      </c>
      <c r="B59" s="5">
        <f t="shared" ref="B59:Y59" si="14">AVERAGE(B53,B46,B39,B32,B25,B18,B11,B4)</f>
        <v>22374.375</v>
      </c>
      <c r="C59" s="5">
        <f t="shared" si="14"/>
        <v>14428.8725</v>
      </c>
      <c r="D59" s="5">
        <f t="shared" si="14"/>
        <v>16038.198</v>
      </c>
      <c r="E59" s="5">
        <f t="shared" si="14"/>
        <v>13527.67</v>
      </c>
      <c r="F59" s="5">
        <f t="shared" si="14"/>
        <v>10810.03167</v>
      </c>
      <c r="G59" s="5">
        <f t="shared" si="14"/>
        <v>14472.008</v>
      </c>
      <c r="H59" s="5">
        <f t="shared" si="14"/>
        <v>20600.915</v>
      </c>
      <c r="I59" s="5">
        <f t="shared" si="14"/>
        <v>14129.13167</v>
      </c>
      <c r="J59" s="5">
        <f t="shared" si="14"/>
        <v>10893.582</v>
      </c>
      <c r="K59" s="5">
        <f t="shared" si="14"/>
        <v>10478.64</v>
      </c>
      <c r="L59" s="5">
        <f t="shared" si="14"/>
        <v>7528.564</v>
      </c>
      <c r="M59" s="5">
        <f t="shared" si="14"/>
        <v>5842.406667</v>
      </c>
      <c r="N59" s="5">
        <f t="shared" si="14"/>
        <v>10965.62667</v>
      </c>
      <c r="O59" s="5">
        <f t="shared" si="14"/>
        <v>9192.024</v>
      </c>
      <c r="P59" s="5">
        <f t="shared" si="14"/>
        <v>5427.795</v>
      </c>
      <c r="Q59" s="5">
        <f t="shared" si="14"/>
        <v>10327.15375</v>
      </c>
      <c r="R59" s="5">
        <f t="shared" si="14"/>
        <v>14002.4825</v>
      </c>
      <c r="S59" s="3" t="str">
        <f t="shared" si="14"/>
        <v>#DIV/0!</v>
      </c>
      <c r="T59" s="3" t="str">
        <f t="shared" si="14"/>
        <v>#DIV/0!</v>
      </c>
      <c r="U59" s="3" t="str">
        <f t="shared" si="14"/>
        <v>#DIV/0!</v>
      </c>
      <c r="V59" s="3" t="str">
        <f t="shared" si="14"/>
        <v>#DIV/0!</v>
      </c>
      <c r="W59" s="3" t="str">
        <f t="shared" si="14"/>
        <v>#DIV/0!</v>
      </c>
      <c r="X59" s="3" t="str">
        <f t="shared" si="14"/>
        <v>#DIV/0!</v>
      </c>
      <c r="Y59" s="3" t="str">
        <f t="shared" si="14"/>
        <v>#DIV/0!</v>
      </c>
      <c r="Z59" s="5" t="str">
        <f>average(N59:Y59)</f>
        <v>#DIV/0!</v>
      </c>
    </row>
    <row r="60" ht="15.75" customHeight="1">
      <c r="A60" s="3" t="s">
        <v>6</v>
      </c>
      <c r="B60" s="7">
        <f t="shared" ref="B60:Y60" si="15">AVERAGE(B54,B47,B40,B33,B26,B19,B12,B5)</f>
        <v>0.3444333333</v>
      </c>
      <c r="C60" s="7">
        <f t="shared" si="15"/>
        <v>0.309525</v>
      </c>
      <c r="D60" s="7">
        <f t="shared" si="15"/>
        <v>0.42125</v>
      </c>
      <c r="E60" s="7">
        <f t="shared" si="15"/>
        <v>0.42478</v>
      </c>
      <c r="F60" s="7">
        <f t="shared" si="15"/>
        <v>0.40488</v>
      </c>
      <c r="G60" s="7">
        <f t="shared" si="15"/>
        <v>0.45414</v>
      </c>
      <c r="H60" s="7">
        <f t="shared" si="15"/>
        <v>0.40556</v>
      </c>
      <c r="I60" s="7">
        <f t="shared" si="15"/>
        <v>0.31688</v>
      </c>
      <c r="J60" s="7">
        <f t="shared" si="15"/>
        <v>0.41248</v>
      </c>
      <c r="K60" s="7">
        <f t="shared" si="15"/>
        <v>0.29162</v>
      </c>
      <c r="L60" s="7">
        <f t="shared" si="15"/>
        <v>0.36604</v>
      </c>
      <c r="M60" s="7">
        <f t="shared" si="15"/>
        <v>0.3687333333</v>
      </c>
      <c r="N60" s="7">
        <f t="shared" si="15"/>
        <v>0.26642</v>
      </c>
      <c r="O60" s="7">
        <f t="shared" si="15"/>
        <v>0.2047833333</v>
      </c>
      <c r="P60" s="7">
        <f t="shared" si="15"/>
        <v>0.3297714286</v>
      </c>
      <c r="Q60" s="7">
        <f t="shared" si="15"/>
        <v>0.2484571429</v>
      </c>
      <c r="R60" s="7">
        <f t="shared" si="15"/>
        <v>0.11035</v>
      </c>
      <c r="S60" s="7">
        <f t="shared" si="15"/>
        <v>0.07567142857</v>
      </c>
      <c r="T60" s="3" t="str">
        <f t="shared" si="15"/>
        <v>#DIV/0!</v>
      </c>
      <c r="U60" s="3" t="str">
        <f t="shared" si="15"/>
        <v>#DIV/0!</v>
      </c>
      <c r="V60" s="3" t="str">
        <f t="shared" si="15"/>
        <v>#DIV/0!</v>
      </c>
      <c r="W60" s="3" t="str">
        <f t="shared" si="15"/>
        <v>#DIV/0!</v>
      </c>
      <c r="X60" s="3" t="str">
        <f t="shared" si="15"/>
        <v>#DIV/0!</v>
      </c>
      <c r="Y60" s="3" t="str">
        <f t="shared" si="15"/>
        <v>#DIV/0!</v>
      </c>
      <c r="Z60" s="3" t="str">
        <f>average(R60:Y60)</f>
        <v>#DIV/0!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>
      <c r="B70" s="1"/>
      <c r="S70" s="7"/>
    </row>
    <row r="71" ht="15.75" customHeight="1">
      <c r="B71" s="1"/>
      <c r="S71" s="7"/>
    </row>
    <row r="72" ht="15.75" customHeight="1">
      <c r="B72" s="1"/>
      <c r="S72" s="7"/>
    </row>
    <row r="73" ht="15.75" customHeight="1">
      <c r="B73" s="1"/>
      <c r="S73" s="7"/>
    </row>
    <row r="74" ht="15.75" customHeight="1">
      <c r="B74" s="1"/>
      <c r="S74" s="7"/>
    </row>
    <row r="75" ht="15.75" customHeight="1">
      <c r="B75" s="1"/>
      <c r="S75" s="7"/>
    </row>
    <row r="76" ht="15.75" customHeight="1">
      <c r="S76" s="7"/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>
      <c r="B100" s="3" t="s">
        <v>15</v>
      </c>
      <c r="C100" s="7" t="str">
        <f t="shared" ref="C100:R100" si="16">average(C70:C75)</f>
        <v>#DIV/0!</v>
      </c>
      <c r="D100" s="7" t="str">
        <f t="shared" si="16"/>
        <v>#DIV/0!</v>
      </c>
      <c r="E100" s="7" t="str">
        <f t="shared" si="16"/>
        <v>#DIV/0!</v>
      </c>
      <c r="F100" s="7" t="str">
        <f t="shared" si="16"/>
        <v>#DIV/0!</v>
      </c>
      <c r="G100" s="7" t="str">
        <f t="shared" si="16"/>
        <v>#DIV/0!</v>
      </c>
      <c r="H100" s="7" t="str">
        <f t="shared" si="16"/>
        <v>#DIV/0!</v>
      </c>
      <c r="I100" s="7" t="str">
        <f t="shared" si="16"/>
        <v>#DIV/0!</v>
      </c>
      <c r="J100" s="7" t="str">
        <f t="shared" si="16"/>
        <v>#DIV/0!</v>
      </c>
      <c r="K100" s="7" t="str">
        <f t="shared" si="16"/>
        <v>#DIV/0!</v>
      </c>
      <c r="L100" s="7" t="str">
        <f t="shared" si="16"/>
        <v>#DIV/0!</v>
      </c>
      <c r="M100" s="7" t="str">
        <f t="shared" si="16"/>
        <v>#DIV/0!</v>
      </c>
      <c r="N100" s="7" t="str">
        <f t="shared" si="16"/>
        <v>#DIV/0!</v>
      </c>
      <c r="O100" s="7" t="str">
        <f t="shared" si="16"/>
        <v>#DIV/0!</v>
      </c>
      <c r="P100" s="7" t="str">
        <f t="shared" si="16"/>
        <v>#DIV/0!</v>
      </c>
      <c r="Q100" s="7" t="str">
        <f t="shared" si="16"/>
        <v>#DIV/0!</v>
      </c>
      <c r="R100" s="7" t="str">
        <f t="shared" si="16"/>
        <v>#DIV/0!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