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<sst xmlns="http://schemas.openxmlformats.org/spreadsheetml/2006/main" count="60" uniqueCount="18">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</sst>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0.3333</v>
      </c>
      <c r="T5" s="9"/>
      <c r="U5" s="9"/>
      <c r="V5" s="9"/>
      <c r="W5" s="9"/>
      <c r="X5" s="9"/>
      <c r="Y5" s="9"/>
      <c r="Z5" s="8">
        <f t="shared" si="2"/>
        <v>0.2846333333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2">
        <v>0.2673</v>
      </c>
      <c r="T6" s="11"/>
      <c r="U6" s="11"/>
      <c r="V6" s="11"/>
      <c r="W6" s="11"/>
      <c r="X6" s="11"/>
      <c r="Y6" s="11"/>
      <c r="Z6" s="11">
        <f t="shared" si="2"/>
        <v>0.2694666667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0.0526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2">
        <v>0.2044</v>
      </c>
      <c r="T14" s="14"/>
      <c r="W14" s="15"/>
      <c r="X14" s="11"/>
      <c r="Y14" s="11"/>
      <c r="Z14" s="11">
        <f>average(R14:Y14)</f>
        <v>0.23775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2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2">
        <v>0.181</v>
      </c>
      <c r="T22" s="11"/>
      <c r="U22" s="11"/>
      <c r="V22" s="11"/>
      <c r="W22" s="11"/>
      <c r="X22" s="11"/>
      <c r="Y22" s="11"/>
      <c r="Z22" s="11">
        <f>average(R22:Y22)</f>
        <v>0.2065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0.0769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2">
        <v>0.2759</v>
      </c>
      <c r="T30" s="16"/>
      <c r="U30" s="11"/>
      <c r="V30" s="11"/>
      <c r="W30" s="11"/>
      <c r="X30" s="11"/>
      <c r="Y30" s="11"/>
      <c r="Z30" s="11">
        <f>average(R30:Y30)</f>
        <v>0.3028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0.3333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2">
        <v>0.2024</v>
      </c>
      <c r="T38" s="11"/>
      <c r="U38" s="11"/>
      <c r="V38" s="11"/>
      <c r="W38" s="11"/>
      <c r="X38" s="11"/>
      <c r="Y38" s="11"/>
      <c r="Z38" s="11">
        <f>average(R38:Y38)</f>
        <v>0.2228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2">
        <v>0.0</v>
      </c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2">
        <v>0.2157</v>
      </c>
      <c r="T46" s="11"/>
      <c r="U46" s="11"/>
      <c r="V46" s="11"/>
      <c r="W46" s="11"/>
      <c r="X46" s="11"/>
      <c r="Y46" s="11"/>
      <c r="Z46" s="11">
        <f>average(R46:Y46)</f>
        <v>0.2412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0.0333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2">
        <v>0.2222</v>
      </c>
      <c r="T54" s="11"/>
      <c r="U54" s="11"/>
      <c r="V54" s="11"/>
      <c r="W54" s="11"/>
      <c r="X54" s="11"/>
      <c r="Y54" s="11"/>
      <c r="Z54" s="11">
        <f>average(R54:Y54)</f>
        <v>0.2591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Y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>
        <f t="shared" si="9"/>
        <v>0</v>
      </c>
      <c r="T65" s="18">
        <f t="shared" si="9"/>
        <v>0</v>
      </c>
      <c r="U65" s="3">
        <f t="shared" si="9"/>
        <v>0</v>
      </c>
      <c r="V65" s="3">
        <f t="shared" si="9"/>
        <v>0</v>
      </c>
      <c r="W65" s="3">
        <f t="shared" si="9"/>
        <v>0</v>
      </c>
      <c r="X65" s="3">
        <f t="shared" si="9"/>
        <v>0</v>
      </c>
      <c r="Y65" s="3">
        <f t="shared" si="9"/>
        <v>0</v>
      </c>
      <c r="Z65" s="5">
        <f>sum(N65:Y65)</f>
        <v>2956348.12</v>
      </c>
    </row>
    <row r="66" ht="15.75" customHeight="1">
      <c r="A66" s="3" t="s">
        <v>14</v>
      </c>
      <c r="B66" s="5">
        <f t="shared" ref="B66:Z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 t="str">
        <f t="shared" si="10"/>
        <v>#DIV/0!</v>
      </c>
      <c r="T66" s="3" t="str">
        <f t="shared" si="10"/>
        <v>#DIV/0!</v>
      </c>
      <c r="U66" s="3" t="str">
        <f t="shared" si="10"/>
        <v>#DIV/0!</v>
      </c>
      <c r="V66" s="3" t="str">
        <f t="shared" si="10"/>
        <v>#DIV/0!</v>
      </c>
      <c r="W66" s="3" t="str">
        <f t="shared" si="10"/>
        <v>#DIV/0!</v>
      </c>
      <c r="X66" s="3" t="str">
        <f t="shared" si="10"/>
        <v>#DIV/0!</v>
      </c>
      <c r="Y66" s="3" t="str">
        <f t="shared" si="10"/>
        <v>#DIV/0!</v>
      </c>
      <c r="Z66" s="5">
        <f t="shared" si="10"/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>
        <f t="shared" ref="S67:Y67" si="12">sum(S59,S51,S43,S35,S27,S19,S11,S3)</f>
        <v>0</v>
      </c>
      <c r="T67" s="3">
        <f t="shared" si="12"/>
        <v>0</v>
      </c>
      <c r="U67" s="3">
        <f t="shared" si="12"/>
        <v>0</v>
      </c>
      <c r="V67" s="3">
        <f t="shared" si="12"/>
        <v>0</v>
      </c>
      <c r="W67" s="3">
        <f t="shared" si="12"/>
        <v>0</v>
      </c>
      <c r="X67" s="3">
        <f t="shared" si="12"/>
        <v>0</v>
      </c>
      <c r="Y67" s="3">
        <f t="shared" si="12"/>
        <v>0</v>
      </c>
      <c r="Z67" s="19">
        <f>sum(N67:Y67)</f>
        <v>46.27380952</v>
      </c>
    </row>
    <row r="68" ht="15.75" customHeight="1">
      <c r="A68" s="3" t="s">
        <v>4</v>
      </c>
      <c r="B68" s="5">
        <f t="shared" ref="B68:Y68" si="13">AVERAGE(B60,B52,B44,B36,B28,B20,B12,B4)</f>
        <v>22374.375</v>
      </c>
      <c r="C68" s="5">
        <f t="shared" si="13"/>
        <v>14428.8725</v>
      </c>
      <c r="D68" s="5">
        <f t="shared" si="13"/>
        <v>20022.7475</v>
      </c>
      <c r="E68" s="5">
        <f t="shared" si="13"/>
        <v>12879.358</v>
      </c>
      <c r="F68" s="5">
        <f t="shared" si="13"/>
        <v>10576.564</v>
      </c>
      <c r="G68" s="5">
        <f t="shared" si="13"/>
        <v>14472.008</v>
      </c>
      <c r="H68" s="5">
        <f t="shared" si="13"/>
        <v>17632.932</v>
      </c>
      <c r="I68" s="5">
        <f t="shared" si="13"/>
        <v>16201.158</v>
      </c>
      <c r="J68" s="5">
        <f t="shared" si="13"/>
        <v>10893.582</v>
      </c>
      <c r="K68" s="5">
        <f t="shared" si="13"/>
        <v>10478.64</v>
      </c>
      <c r="L68" s="5">
        <f t="shared" si="13"/>
        <v>7528.564</v>
      </c>
      <c r="M68" s="5">
        <f t="shared" si="13"/>
        <v>6484.368</v>
      </c>
      <c r="N68" s="5">
        <f t="shared" si="13"/>
        <v>10965.62667</v>
      </c>
      <c r="O68" s="5">
        <f t="shared" si="13"/>
        <v>7259.26</v>
      </c>
      <c r="P68" s="5">
        <f t="shared" si="13"/>
        <v>6149.781429</v>
      </c>
      <c r="Q68" s="5">
        <f t="shared" si="13"/>
        <v>10070.49286</v>
      </c>
      <c r="R68" s="5">
        <f t="shared" si="13"/>
        <v>13479.04857</v>
      </c>
      <c r="S68" s="3" t="str">
        <f t="shared" si="13"/>
        <v>#DIV/0!</v>
      </c>
      <c r="T68" s="3" t="str">
        <f t="shared" si="13"/>
        <v>#DIV/0!</v>
      </c>
      <c r="U68" s="3" t="str">
        <f t="shared" si="13"/>
        <v>#DIV/0!</v>
      </c>
      <c r="V68" s="3" t="str">
        <f t="shared" si="13"/>
        <v>#DIV/0!</v>
      </c>
      <c r="W68" s="3" t="str">
        <f t="shared" si="13"/>
        <v>#DIV/0!</v>
      </c>
      <c r="X68" s="3" t="str">
        <f t="shared" si="13"/>
        <v>#DIV/0!</v>
      </c>
      <c r="Y68" s="3" t="str">
        <f t="shared" si="13"/>
        <v>#DIV/0!</v>
      </c>
      <c r="Z68" s="5" t="str">
        <f>average(N68:Y68)</f>
        <v>#DIV/0!</v>
      </c>
    </row>
    <row r="69" ht="15.75" customHeight="1">
      <c r="A69" s="7" t="s">
        <v>15</v>
      </c>
      <c r="B69" s="11">
        <f t="shared" ref="B69:R69" si="14">average(B53,B45,B37,B29,B21,B13,B5)</f>
        <v>0.3444333333</v>
      </c>
      <c r="C69" s="11">
        <f t="shared" si="14"/>
        <v>0.309525</v>
      </c>
      <c r="D69" s="11">
        <f t="shared" si="14"/>
        <v>0.42125</v>
      </c>
      <c r="E69" s="11">
        <f t="shared" si="14"/>
        <v>0.42478</v>
      </c>
      <c r="F69" s="11">
        <f t="shared" si="14"/>
        <v>0.40488</v>
      </c>
      <c r="G69" s="11">
        <f t="shared" si="14"/>
        <v>0.45414</v>
      </c>
      <c r="H69" s="11">
        <f t="shared" si="14"/>
        <v>0.40556</v>
      </c>
      <c r="I69" s="11">
        <f t="shared" si="14"/>
        <v>0.31688</v>
      </c>
      <c r="J69" s="11">
        <f t="shared" si="14"/>
        <v>0.41248</v>
      </c>
      <c r="K69" s="11">
        <f t="shared" si="14"/>
        <v>0.29162</v>
      </c>
      <c r="L69" s="11">
        <f t="shared" si="14"/>
        <v>0.35694</v>
      </c>
      <c r="M69" s="11">
        <f t="shared" si="14"/>
        <v>0.3687333333</v>
      </c>
      <c r="N69" s="11">
        <f t="shared" si="14"/>
        <v>0.26642</v>
      </c>
      <c r="O69" s="11">
        <f t="shared" si="14"/>
        <v>0.2291666667</v>
      </c>
      <c r="P69" s="11">
        <f t="shared" si="14"/>
        <v>0.3634</v>
      </c>
      <c r="Q69" s="11">
        <f t="shared" si="14"/>
        <v>0.2847571429</v>
      </c>
      <c r="R69" s="11">
        <f t="shared" si="14"/>
        <v>0.15246</v>
      </c>
      <c r="S69" s="3"/>
      <c r="T69" s="3" t="str">
        <f t="shared" ref="T69:Y69" si="15">AVERAGE(T62,T54,T46,T38,T30,T22,T14,T6)</f>
        <v>#DIV/0!</v>
      </c>
      <c r="U69" s="3" t="str">
        <f t="shared" si="15"/>
        <v>#DIV/0!</v>
      </c>
      <c r="V69" s="3" t="str">
        <f t="shared" si="15"/>
        <v>#DIV/0!</v>
      </c>
      <c r="W69" s="3" t="str">
        <f t="shared" si="15"/>
        <v>#DIV/0!</v>
      </c>
      <c r="X69" s="3" t="str">
        <f t="shared" si="15"/>
        <v>#DIV/0!</v>
      </c>
      <c r="Y69" s="3" t="str">
        <f t="shared" si="15"/>
        <v>#DIV/0!</v>
      </c>
      <c r="Z69" s="3" t="str">
        <f>average(R69:Y69)</f>
        <v>#DIV/0!</v>
      </c>
    </row>
    <row r="70" ht="15.75" customHeight="1">
      <c r="A70" s="3" t="s">
        <v>16</v>
      </c>
      <c r="B70" s="11">
        <f t="shared" ref="B70:R70" si="16">AVERAGE(B54,B46,B38,B30,B22,B14,B6)</f>
        <v>0.50445</v>
      </c>
      <c r="C70" s="11">
        <f t="shared" si="16"/>
        <v>0.366525</v>
      </c>
      <c r="D70" s="11">
        <f t="shared" si="16"/>
        <v>0.30455</v>
      </c>
      <c r="E70" s="11">
        <f t="shared" si="16"/>
        <v>0.38494</v>
      </c>
      <c r="F70" s="11">
        <f t="shared" si="16"/>
        <v>0.40984</v>
      </c>
      <c r="G70" s="11">
        <f t="shared" si="16"/>
        <v>0.4393</v>
      </c>
      <c r="H70" s="11">
        <f t="shared" si="16"/>
        <v>0.42082</v>
      </c>
      <c r="I70" s="11">
        <f t="shared" si="16"/>
        <v>0.4131</v>
      </c>
      <c r="J70" s="11">
        <f t="shared" si="16"/>
        <v>0.3999</v>
      </c>
      <c r="K70" s="11">
        <f t="shared" si="16"/>
        <v>0.38592</v>
      </c>
      <c r="L70" s="11">
        <f t="shared" si="16"/>
        <v>0.33754</v>
      </c>
      <c r="M70" s="11">
        <f t="shared" si="16"/>
        <v>0.34014</v>
      </c>
      <c r="N70" s="11">
        <f t="shared" si="16"/>
        <v>0.30044</v>
      </c>
      <c r="O70" s="11">
        <f t="shared" si="16"/>
        <v>0.30184</v>
      </c>
      <c r="P70" s="11">
        <f t="shared" si="16"/>
        <v>0.2368833333</v>
      </c>
      <c r="Q70" s="11">
        <f t="shared" si="16"/>
        <v>0.3044714286</v>
      </c>
      <c r="R70" s="11">
        <f t="shared" si="16"/>
        <v>0.2830428571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7">average(C79:C84)</f>
        <v>#DIV/0!</v>
      </c>
      <c r="D109" s="11" t="str">
        <f t="shared" si="17"/>
        <v>#DIV/0!</v>
      </c>
      <c r="E109" s="11" t="str">
        <f t="shared" si="17"/>
        <v>#DIV/0!</v>
      </c>
      <c r="F109" s="11" t="str">
        <f t="shared" si="17"/>
        <v>#DIV/0!</v>
      </c>
      <c r="G109" s="11" t="str">
        <f t="shared" si="17"/>
        <v>#DIV/0!</v>
      </c>
      <c r="H109" s="11" t="str">
        <f t="shared" si="17"/>
        <v>#DIV/0!</v>
      </c>
      <c r="I109" s="11" t="str">
        <f t="shared" si="17"/>
        <v>#DIV/0!</v>
      </c>
      <c r="J109" s="11" t="str">
        <f t="shared" si="17"/>
        <v>#DIV/0!</v>
      </c>
      <c r="K109" s="11" t="str">
        <f t="shared" si="17"/>
        <v>#DIV/0!</v>
      </c>
      <c r="L109" s="11" t="str">
        <f t="shared" si="17"/>
        <v>#DIV/0!</v>
      </c>
      <c r="M109" s="11" t="str">
        <f t="shared" si="17"/>
        <v>#DIV/0!</v>
      </c>
      <c r="N109" s="11" t="str">
        <f t="shared" si="17"/>
        <v>#DIV/0!</v>
      </c>
      <c r="O109" s="11" t="str">
        <f t="shared" si="17"/>
        <v>#DIV/0!</v>
      </c>
      <c r="P109" s="11" t="str">
        <f t="shared" si="17"/>
        <v>#DIV/0!</v>
      </c>
      <c r="Q109" s="11" t="str">
        <f t="shared" si="17"/>
        <v>#DIV/0!</v>
      </c>
      <c r="R109" s="11" t="str">
        <f t="shared" si="17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