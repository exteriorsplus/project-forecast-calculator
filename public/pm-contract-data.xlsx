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<sst xmlns="http://schemas.openxmlformats.org/spreadsheetml/2006/main" count="63" uniqueCount="16">
  <si>
    <t>Jamie Jenkins</t>
  </si>
  <si>
    <t>YTD</t>
  </si>
  <si>
    <t>Contract Total</t>
  </si>
  <si>
    <t>Contracts</t>
  </si>
  <si>
    <t>Average Contract</t>
  </si>
  <si>
    <t>Rolling 90-Day Closing Rate</t>
  </si>
  <si>
    <t>John Fincher</t>
  </si>
  <si>
    <t>November 205</t>
  </si>
  <si>
    <t>Andrew Painter</t>
  </si>
  <si>
    <t>George Anim</t>
  </si>
  <si>
    <t>William Dye</t>
  </si>
  <si>
    <t>Dani Cole</t>
  </si>
  <si>
    <t>Megan Rice</t>
  </si>
  <si>
    <t>Mike Harr</t>
  </si>
  <si>
    <t>Contract Total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</si>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</sst>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5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color theme="1"/>
      <name val="Arial"/>
      <scheme val="minor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164" xfId="0" applyAlignment="1" applyFont="1" applyNumberFormat="1">
      <alignment readingOrder="0"/>
    </xf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3" numFmtId="0" xfId="0" applyAlignment="1" applyFont="1">
      <alignment readingOrder="0"/>
    </xf>
    <xf borderId="0" fillId="0" fontId="2" numFmtId="10" xfId="0" applyAlignment="1" applyFont="1" applyNumberFormat="1">
      <alignment readingOrder="0"/>
    </xf>
    <xf borderId="0" fillId="0" fontId="2" numFmtId="10" xfId="0" applyFont="1" applyNumberFormat="1"/>
    <xf borderId="2" fillId="0" fontId="1" numFmtId="0" xfId="0" applyAlignment="1" applyBorder="1" applyFont="1">
      <alignment shrinkToFit="0" wrapText="0"/>
    </xf>
    <xf borderId="0" fillId="2" fontId="4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4" numFmtId="10" xfId="0" applyFont="1" applyNumberFormat="1"/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3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4" t="s">
        <v>1</v>
      </c>
    </row>
    <row r="2" ht="15.75" customHeight="1">
      <c r="A2" s="4" t="s">
        <v>2</v>
      </c>
      <c r="B2" s="5">
        <v>33624.74</v>
      </c>
      <c r="C2" s="5">
        <v>49353.38</v>
      </c>
      <c r="D2" s="5">
        <v>150019.57</v>
      </c>
      <c r="E2" s="5">
        <v>35596.98</v>
      </c>
      <c r="F2" s="5">
        <v>121861.65</v>
      </c>
      <c r="G2" s="5">
        <v>217702.66</v>
      </c>
      <c r="H2" s="5">
        <v>80860.65</v>
      </c>
      <c r="I2" s="5">
        <v>56753.76</v>
      </c>
      <c r="J2" s="5">
        <v>97057.61</v>
      </c>
      <c r="K2" s="5">
        <v>117013.22</v>
      </c>
      <c r="L2" s="5">
        <v>39130.08</v>
      </c>
      <c r="M2" s="5">
        <v>24475.43</v>
      </c>
      <c r="P2" s="5">
        <v>50427.08</v>
      </c>
      <c r="Q2" s="5">
        <v>215081.52</v>
      </c>
      <c r="R2" s="5">
        <v>378650.28</v>
      </c>
      <c r="S2" s="5"/>
      <c r="T2" s="5"/>
      <c r="Z2" s="6">
        <f t="shared" ref="Z2:Z3" si="1">sum(N2:Y2)</f>
        <v>644158.88</v>
      </c>
    </row>
    <row r="3" ht="15.75" customHeight="1">
      <c r="A3" s="4" t="s">
        <v>3</v>
      </c>
      <c r="B3" s="7">
        <v>2.0</v>
      </c>
      <c r="C3" s="7">
        <v>2.0</v>
      </c>
      <c r="D3" s="7">
        <v>5.0</v>
      </c>
      <c r="E3" s="7">
        <v>2.0</v>
      </c>
      <c r="F3" s="7">
        <v>9.0</v>
      </c>
      <c r="G3" s="7">
        <v>12.0</v>
      </c>
      <c r="H3" s="7">
        <v>5.0</v>
      </c>
      <c r="I3" s="7">
        <v>4.0</v>
      </c>
      <c r="J3" s="7">
        <v>5.0</v>
      </c>
      <c r="K3" s="7">
        <v>7.0</v>
      </c>
      <c r="L3" s="7">
        <v>7.0</v>
      </c>
      <c r="M3" s="7">
        <v>3.0</v>
      </c>
      <c r="P3" s="7">
        <v>7.0</v>
      </c>
      <c r="Q3" s="7">
        <v>13.0</v>
      </c>
      <c r="R3" s="7">
        <v>24.0</v>
      </c>
      <c r="S3" s="7"/>
      <c r="T3" s="7"/>
      <c r="Z3" s="4">
        <f t="shared" si="1"/>
        <v>44</v>
      </c>
    </row>
    <row r="4" ht="15.75" customHeight="1">
      <c r="A4" s="4" t="s">
        <v>4</v>
      </c>
      <c r="B4" s="5">
        <v>16812.37</v>
      </c>
      <c r="C4" s="5">
        <v>24676.69</v>
      </c>
      <c r="D4" s="5">
        <v>30003.91</v>
      </c>
      <c r="E4" s="5">
        <v>17798.49</v>
      </c>
      <c r="F4" s="5">
        <v>13540.18</v>
      </c>
      <c r="G4" s="5">
        <v>18141.89</v>
      </c>
      <c r="H4" s="5">
        <v>16172.13</v>
      </c>
      <c r="I4" s="5">
        <v>14188.44</v>
      </c>
      <c r="J4" s="5">
        <v>19411.52</v>
      </c>
      <c r="K4" s="5">
        <v>16716.17</v>
      </c>
      <c r="L4" s="5">
        <v>5590.01</v>
      </c>
      <c r="M4" s="5">
        <v>8158.48</v>
      </c>
      <c r="P4" s="5">
        <v>7203.87</v>
      </c>
      <c r="Q4" s="5">
        <v>16544.73</v>
      </c>
      <c r="R4" s="5">
        <v>15777.09</v>
      </c>
      <c r="Z4" s="6">
        <f t="shared" ref="Z4:Z5" si="2">average(N4:Y4)</f>
        <v>13175.23</v>
      </c>
    </row>
    <row r="5" ht="15.75" customHeight="1">
      <c r="A5" s="8" t="s">
        <v>5</v>
      </c>
      <c r="B5" s="9">
        <v>0.5714</v>
      </c>
      <c r="C5" s="9">
        <v>0.4167</v>
      </c>
      <c r="D5" s="9">
        <v>0.3182</v>
      </c>
      <c r="E5" s="9">
        <v>0.3333</v>
      </c>
      <c r="F5" s="9">
        <v>0.3429</v>
      </c>
      <c r="G5" s="9">
        <v>0.4348</v>
      </c>
      <c r="H5" s="9">
        <v>0.4468</v>
      </c>
      <c r="I5" s="9">
        <v>0.3462</v>
      </c>
      <c r="J5" s="9">
        <v>0.2456</v>
      </c>
      <c r="K5" s="9">
        <v>0.2203</v>
      </c>
      <c r="L5" s="9">
        <v>0.2537</v>
      </c>
      <c r="M5" s="9">
        <v>0.2593</v>
      </c>
      <c r="N5" s="9">
        <v>0.2368</v>
      </c>
      <c r="O5" s="9">
        <v>0.2308</v>
      </c>
      <c r="P5" s="9">
        <v>0.2</v>
      </c>
      <c r="Q5" s="9">
        <v>0.3393</v>
      </c>
      <c r="R5" s="9">
        <v>0.3426</v>
      </c>
      <c r="S5" s="9"/>
      <c r="T5" s="10"/>
      <c r="U5" s="10"/>
      <c r="V5" s="10"/>
      <c r="W5" s="10"/>
      <c r="X5" s="10"/>
      <c r="Y5" s="10"/>
      <c r="Z5" s="10">
        <f t="shared" si="2"/>
        <v>0.2699</v>
      </c>
    </row>
    <row r="6" ht="15.75" customHeight="1"/>
    <row r="7" ht="15.75" customHeight="1"/>
    <row r="8" ht="15.75" customHeight="1">
      <c r="A8" s="1" t="s">
        <v>6</v>
      </c>
      <c r="B8" s="2">
        <v>45658.0</v>
      </c>
      <c r="C8" s="2">
        <v>45689.0</v>
      </c>
      <c r="D8" s="2">
        <v>45717.0</v>
      </c>
      <c r="E8" s="2">
        <v>45748.0</v>
      </c>
      <c r="F8" s="2">
        <v>45778.0</v>
      </c>
      <c r="G8" s="2">
        <v>45809.0</v>
      </c>
      <c r="H8" s="2">
        <v>45839.0</v>
      </c>
      <c r="I8" s="2">
        <v>45870.0</v>
      </c>
      <c r="J8" s="2">
        <v>45901.0</v>
      </c>
      <c r="K8" s="2">
        <v>45931.0</v>
      </c>
      <c r="L8" s="4" t="s">
        <v>7</v>
      </c>
      <c r="M8" s="2">
        <v>45992.0</v>
      </c>
      <c r="N8" s="2">
        <v>46023.0</v>
      </c>
      <c r="O8" s="2">
        <v>46054.0</v>
      </c>
      <c r="P8" s="2">
        <v>46082.0</v>
      </c>
      <c r="Q8" s="2">
        <v>46113.0</v>
      </c>
      <c r="R8" s="2">
        <v>46143.0</v>
      </c>
      <c r="S8" s="2">
        <v>46174.0</v>
      </c>
      <c r="T8" s="2">
        <v>46204.0</v>
      </c>
      <c r="U8" s="2">
        <v>46235.0</v>
      </c>
      <c r="V8" s="2">
        <v>46266.0</v>
      </c>
      <c r="W8" s="2">
        <v>46296.0</v>
      </c>
      <c r="X8" s="2">
        <v>46327.0</v>
      </c>
      <c r="Y8" s="2">
        <v>46357.0</v>
      </c>
      <c r="Z8" s="4" t="s">
        <v>1</v>
      </c>
    </row>
    <row r="9" ht="15.75" customHeight="1">
      <c r="A9" s="4" t="s">
        <v>2</v>
      </c>
      <c r="C9" s="5">
        <v>26439.71</v>
      </c>
      <c r="D9" s="5">
        <v>51542.87</v>
      </c>
      <c r="E9" s="5">
        <v>75885.54</v>
      </c>
      <c r="F9" s="5">
        <v>103291.98</v>
      </c>
      <c r="G9" s="5">
        <v>153828.56</v>
      </c>
      <c r="H9" s="5">
        <v>142652.92</v>
      </c>
      <c r="I9" s="5">
        <v>63419.5</v>
      </c>
      <c r="J9" s="5">
        <v>131500.17</v>
      </c>
      <c r="K9" s="5">
        <v>131200.28</v>
      </c>
      <c r="L9" s="5">
        <v>28825.49</v>
      </c>
      <c r="M9" s="5">
        <v>10448.87</v>
      </c>
      <c r="N9" s="5">
        <v>90672.39</v>
      </c>
      <c r="O9" s="5">
        <v>34294.16</v>
      </c>
      <c r="P9" s="5">
        <v>65730.26</v>
      </c>
      <c r="Q9" s="5">
        <v>349069.93</v>
      </c>
      <c r="R9" s="5">
        <v>118400.53</v>
      </c>
      <c r="S9" s="5"/>
      <c r="W9" s="11"/>
      <c r="Z9" s="6">
        <f t="shared" ref="Z9:Z10" si="3">sum(N9:Y9)</f>
        <v>658167.27</v>
      </c>
    </row>
    <row r="10" ht="15.75" customHeight="1">
      <c r="A10" s="4" t="s">
        <v>3</v>
      </c>
      <c r="C10" s="7">
        <v>2.0</v>
      </c>
      <c r="D10" s="7">
        <v>5.0</v>
      </c>
      <c r="E10" s="7">
        <v>10.0</v>
      </c>
      <c r="F10" s="7">
        <v>11.0</v>
      </c>
      <c r="G10" s="7">
        <v>20.0</v>
      </c>
      <c r="H10" s="7">
        <v>8.0</v>
      </c>
      <c r="I10" s="7">
        <v>8.0</v>
      </c>
      <c r="J10" s="7">
        <v>8.0</v>
      </c>
      <c r="K10" s="7">
        <v>15.0</v>
      </c>
      <c r="L10" s="7">
        <v>9.0</v>
      </c>
      <c r="M10" s="7">
        <v>3.0</v>
      </c>
      <c r="N10" s="7">
        <v>6.0</v>
      </c>
      <c r="O10" s="7">
        <v>11.0</v>
      </c>
      <c r="P10" s="7">
        <v>10.0</v>
      </c>
      <c r="Q10" s="7">
        <v>30.0</v>
      </c>
      <c r="R10" s="7">
        <v>9.0</v>
      </c>
      <c r="S10" s="7"/>
      <c r="W10" s="11"/>
      <c r="Z10" s="4">
        <f t="shared" si="3"/>
        <v>66</v>
      </c>
    </row>
    <row r="11" ht="15.75" customHeight="1">
      <c r="A11" s="4" t="s">
        <v>4</v>
      </c>
      <c r="C11" s="5">
        <v>13219.86</v>
      </c>
      <c r="D11" s="5">
        <v>10308.57</v>
      </c>
      <c r="E11" s="5">
        <v>7588.55</v>
      </c>
      <c r="F11" s="5">
        <v>9390.18</v>
      </c>
      <c r="G11" s="5">
        <v>7691.43</v>
      </c>
      <c r="H11" s="5">
        <v>17831.62</v>
      </c>
      <c r="I11" s="5">
        <v>7927.44</v>
      </c>
      <c r="J11" s="5">
        <v>16437.52</v>
      </c>
      <c r="K11" s="5">
        <v>8746.69</v>
      </c>
      <c r="L11" s="5">
        <v>3202.83</v>
      </c>
      <c r="M11" s="5">
        <v>3482.96</v>
      </c>
      <c r="N11" s="5">
        <v>15112.07</v>
      </c>
      <c r="O11" s="5">
        <v>3117.65</v>
      </c>
      <c r="P11" s="5">
        <v>6573.03</v>
      </c>
      <c r="Q11" s="5">
        <v>11635.66</v>
      </c>
      <c r="R11" s="5">
        <v>13155.61</v>
      </c>
      <c r="W11" s="11"/>
      <c r="Z11" s="6">
        <f>average(N11:Y11)</f>
        <v>9918.804</v>
      </c>
    </row>
    <row r="12" ht="15.75" customHeight="1">
      <c r="A12" s="8" t="s">
        <v>5</v>
      </c>
      <c r="B12" s="9"/>
      <c r="C12" s="9">
        <v>0.5161</v>
      </c>
      <c r="D12" s="9">
        <v>0.3333</v>
      </c>
      <c r="E12" s="9">
        <v>0.34</v>
      </c>
      <c r="F12" s="9">
        <v>0.3521</v>
      </c>
      <c r="G12" s="9">
        <v>0.4125</v>
      </c>
      <c r="H12" s="9">
        <v>0.4321</v>
      </c>
      <c r="I12" s="9">
        <v>0.369</v>
      </c>
      <c r="J12" s="9">
        <v>0.3194</v>
      </c>
      <c r="K12" s="9">
        <v>0.2969</v>
      </c>
      <c r="L12" s="9">
        <v>0.32</v>
      </c>
      <c r="M12" s="9">
        <v>0.3205</v>
      </c>
      <c r="N12" s="9">
        <v>0.3571</v>
      </c>
      <c r="O12" s="9">
        <v>0.449</v>
      </c>
      <c r="P12" s="9">
        <v>0.4182</v>
      </c>
      <c r="Q12" s="9">
        <v>0.3269</v>
      </c>
      <c r="R12" s="9">
        <v>0.2711</v>
      </c>
      <c r="S12" s="9"/>
      <c r="T12" s="12"/>
      <c r="W12" s="13"/>
      <c r="X12" s="10"/>
      <c r="Y12" s="10"/>
      <c r="Z12" s="10">
        <f>average(R12:Y12)</f>
        <v>0.2711</v>
      </c>
    </row>
    <row r="13" ht="15.75" customHeight="1">
      <c r="S13" s="10"/>
      <c r="T13" s="14"/>
      <c r="U13" s="10"/>
      <c r="V13" s="10"/>
      <c r="W13" s="10"/>
      <c r="X13" s="10"/>
      <c r="Y13" s="10"/>
      <c r="Z13" s="10"/>
    </row>
    <row r="14" ht="15.75" customHeight="1">
      <c r="S14" s="10"/>
      <c r="T14" s="10"/>
      <c r="U14" s="10"/>
      <c r="V14" s="10"/>
      <c r="W14" s="10"/>
      <c r="X14" s="10"/>
      <c r="Y14" s="10"/>
      <c r="Z14" s="10"/>
    </row>
    <row r="15" ht="15.75" customHeight="1">
      <c r="A15" s="1" t="s">
        <v>8</v>
      </c>
      <c r="B15" s="2">
        <v>45658.0</v>
      </c>
      <c r="C15" s="2">
        <v>45689.0</v>
      </c>
      <c r="D15" s="2">
        <v>45717.0</v>
      </c>
      <c r="E15" s="2">
        <v>45748.0</v>
      </c>
      <c r="F15" s="2">
        <v>45778.0</v>
      </c>
      <c r="G15" s="2">
        <v>45809.0</v>
      </c>
      <c r="H15" s="2">
        <v>45839.0</v>
      </c>
      <c r="I15" s="2">
        <v>45870.0</v>
      </c>
      <c r="J15" s="2">
        <v>45901.0</v>
      </c>
      <c r="K15" s="2">
        <v>45931.0</v>
      </c>
      <c r="L15" s="4" t="s">
        <v>7</v>
      </c>
      <c r="M15" s="2">
        <v>45992.0</v>
      </c>
      <c r="N15" s="2">
        <v>46023.0</v>
      </c>
      <c r="O15" s="2">
        <v>46054.0</v>
      </c>
      <c r="P15" s="2">
        <v>46082.0</v>
      </c>
      <c r="Q15" s="2">
        <v>46113.0</v>
      </c>
      <c r="R15" s="2">
        <v>46143.0</v>
      </c>
      <c r="S15" s="2">
        <v>46174.0</v>
      </c>
      <c r="T15" s="2">
        <v>46204.0</v>
      </c>
      <c r="U15" s="2">
        <v>46235.0</v>
      </c>
      <c r="V15" s="2">
        <v>46266.0</v>
      </c>
      <c r="W15" s="2">
        <v>46296.0</v>
      </c>
      <c r="X15" s="2">
        <v>46327.0</v>
      </c>
      <c r="Y15" s="2">
        <v>46357.0</v>
      </c>
      <c r="Z15" s="4" t="s">
        <v>1</v>
      </c>
    </row>
    <row r="16" ht="15.75" customHeight="1">
      <c r="A16" s="4" t="s">
        <v>2</v>
      </c>
      <c r="E16" s="5">
        <v>31222.74</v>
      </c>
      <c r="F16" s="5">
        <v>1972.5</v>
      </c>
      <c r="G16" s="5">
        <v>165667.1</v>
      </c>
      <c r="H16" s="5">
        <v>200911.27</v>
      </c>
      <c r="I16" s="5">
        <v>46590.51</v>
      </c>
      <c r="J16" s="5">
        <v>13253.11</v>
      </c>
      <c r="K16" s="5">
        <v>182255.48</v>
      </c>
      <c r="L16" s="5">
        <v>128036.34</v>
      </c>
      <c r="M16" s="5">
        <v>64847.69</v>
      </c>
      <c r="N16" s="5">
        <v>65950.63</v>
      </c>
      <c r="O16" s="5">
        <v>14994.71</v>
      </c>
      <c r="P16" s="5">
        <v>76787.72</v>
      </c>
      <c r="Q16" s="5">
        <v>262251.4</v>
      </c>
      <c r="R16" s="5">
        <v>147003.47</v>
      </c>
      <c r="S16" s="5"/>
      <c r="T16" s="5"/>
      <c r="Z16" s="6">
        <f t="shared" ref="Z16:Z17" si="4">sum(N16:Y16)</f>
        <v>566987.93</v>
      </c>
    </row>
    <row r="17" ht="15.75" customHeight="1">
      <c r="A17" s="4" t="s">
        <v>3</v>
      </c>
      <c r="E17" s="7">
        <v>1.0</v>
      </c>
      <c r="F17" s="7">
        <v>1.0</v>
      </c>
      <c r="G17" s="7">
        <v>7.0</v>
      </c>
      <c r="H17" s="7">
        <v>5.0</v>
      </c>
      <c r="I17" s="7">
        <v>8.0</v>
      </c>
      <c r="J17" s="7">
        <v>6.0</v>
      </c>
      <c r="K17" s="7">
        <v>16.0</v>
      </c>
      <c r="L17" s="7">
        <v>8.0</v>
      </c>
      <c r="M17" s="7">
        <v>4.0</v>
      </c>
      <c r="N17" s="7">
        <v>4.0</v>
      </c>
      <c r="O17" s="7">
        <v>1.0</v>
      </c>
      <c r="P17" s="7">
        <v>7.0</v>
      </c>
      <c r="Q17" s="7">
        <v>22.0</v>
      </c>
      <c r="R17" s="7">
        <v>7.0</v>
      </c>
      <c r="S17" s="7"/>
      <c r="Z17" s="4">
        <f t="shared" si="4"/>
        <v>41</v>
      </c>
    </row>
    <row r="18" ht="15.75" customHeight="1">
      <c r="A18" s="4" t="s">
        <v>4</v>
      </c>
      <c r="E18" s="5">
        <v>31222.74</v>
      </c>
      <c r="F18" s="5">
        <v>1972.5</v>
      </c>
      <c r="G18" s="5">
        <v>23666.73</v>
      </c>
      <c r="H18" s="5">
        <v>40182.25</v>
      </c>
      <c r="I18" s="5">
        <v>5823.81</v>
      </c>
      <c r="J18" s="5">
        <v>2208.85</v>
      </c>
      <c r="K18" s="5">
        <v>11390.97</v>
      </c>
      <c r="L18" s="5">
        <v>16004.54</v>
      </c>
      <c r="M18" s="5">
        <v>16211.92</v>
      </c>
      <c r="N18" s="5">
        <v>16487.66</v>
      </c>
      <c r="O18" s="5">
        <v>14994.71</v>
      </c>
      <c r="P18" s="5">
        <v>10969.67</v>
      </c>
      <c r="Q18" s="5">
        <v>11920.52</v>
      </c>
      <c r="R18" s="5">
        <v>21000.5</v>
      </c>
      <c r="Z18" s="6">
        <f>average(N18:Y18)</f>
        <v>15074.612</v>
      </c>
    </row>
    <row r="19" ht="15.75" customHeight="1">
      <c r="A19" s="8" t="s">
        <v>5</v>
      </c>
      <c r="B19" s="10"/>
      <c r="C19" s="10"/>
      <c r="D19" s="10"/>
      <c r="E19" s="9">
        <v>0.5</v>
      </c>
      <c r="F19" s="9">
        <v>0.5625</v>
      </c>
      <c r="G19" s="9">
        <v>0.5714</v>
      </c>
      <c r="H19" s="9">
        <v>0.4815</v>
      </c>
      <c r="I19" s="9">
        <v>0.4634</v>
      </c>
      <c r="J19" s="9">
        <v>0.4898</v>
      </c>
      <c r="K19" s="9">
        <v>0.463</v>
      </c>
      <c r="L19" s="9">
        <v>0.377</v>
      </c>
      <c r="M19" s="9">
        <v>0.3387</v>
      </c>
      <c r="N19" s="9">
        <v>0.3265</v>
      </c>
      <c r="O19" s="9">
        <v>0.3056</v>
      </c>
      <c r="P19" s="9">
        <v>0.2075</v>
      </c>
      <c r="Q19" s="9">
        <v>0.2615</v>
      </c>
      <c r="R19" s="9">
        <v>0.232</v>
      </c>
      <c r="S19" s="9"/>
      <c r="T19" s="10"/>
      <c r="U19" s="10"/>
      <c r="V19" s="10"/>
      <c r="W19" s="10"/>
      <c r="X19" s="10"/>
      <c r="Y19" s="10"/>
      <c r="Z19" s="10">
        <f>average(R19:Y19)</f>
        <v>0.232</v>
      </c>
    </row>
    <row r="20" ht="15.75" customHeight="1"/>
    <row r="21" ht="15.75" customHeight="1"/>
    <row r="22" ht="15.75" customHeight="1">
      <c r="A22" s="1" t="s">
        <v>9</v>
      </c>
      <c r="B22" s="2">
        <v>45658.0</v>
      </c>
      <c r="C22" s="2">
        <v>45689.0</v>
      </c>
      <c r="D22" s="2">
        <v>45717.0</v>
      </c>
      <c r="E22" s="2">
        <v>45748.0</v>
      </c>
      <c r="F22" s="2">
        <v>45778.0</v>
      </c>
      <c r="G22" s="2">
        <v>45809.0</v>
      </c>
      <c r="H22" s="2">
        <v>45839.0</v>
      </c>
      <c r="I22" s="2">
        <v>45870.0</v>
      </c>
      <c r="J22" s="2">
        <v>45901.0</v>
      </c>
      <c r="K22" s="2">
        <v>45931.0</v>
      </c>
      <c r="L22" s="4" t="s">
        <v>7</v>
      </c>
      <c r="M22" s="2">
        <v>45992.0</v>
      </c>
      <c r="N22" s="2">
        <v>46023.0</v>
      </c>
      <c r="O22" s="2">
        <v>46054.0</v>
      </c>
      <c r="P22" s="2">
        <v>46082.0</v>
      </c>
      <c r="Q22" s="2">
        <v>46113.0</v>
      </c>
      <c r="R22" s="2">
        <v>46143.0</v>
      </c>
      <c r="S22" s="2">
        <v>46174.0</v>
      </c>
      <c r="T22" s="2">
        <v>46204.0</v>
      </c>
      <c r="U22" s="2">
        <v>46235.0</v>
      </c>
      <c r="V22" s="2">
        <v>46266.0</v>
      </c>
      <c r="W22" s="2">
        <v>46296.0</v>
      </c>
      <c r="X22" s="2">
        <v>46327.0</v>
      </c>
      <c r="Y22" s="2">
        <v>46357.0</v>
      </c>
      <c r="Z22" s="4" t="s">
        <v>1</v>
      </c>
    </row>
    <row r="23" ht="15.75" customHeight="1">
      <c r="A23" s="4" t="s">
        <v>2</v>
      </c>
      <c r="C23" s="5">
        <v>18650.58</v>
      </c>
      <c r="D23" s="5">
        <v>30930.58</v>
      </c>
      <c r="E23" s="5">
        <v>10220.61</v>
      </c>
      <c r="F23" s="5">
        <v>40940.34</v>
      </c>
      <c r="G23" s="5">
        <v>31725.85</v>
      </c>
      <c r="H23" s="5">
        <v>59653.44</v>
      </c>
      <c r="I23" s="5">
        <v>52341.19</v>
      </c>
      <c r="J23" s="5">
        <v>43968.35</v>
      </c>
      <c r="K23" s="5">
        <v>55035.51</v>
      </c>
      <c r="L23" s="5">
        <v>30872.18</v>
      </c>
      <c r="M23" s="5">
        <v>5421.62</v>
      </c>
      <c r="N23" s="5">
        <v>9080.08</v>
      </c>
      <c r="O23" s="5">
        <v>5713.65</v>
      </c>
      <c r="P23" s="5">
        <v>55012.85</v>
      </c>
      <c r="Q23" s="5">
        <v>13845.3</v>
      </c>
      <c r="R23" s="5">
        <v>88880.21</v>
      </c>
      <c r="S23" s="5"/>
      <c r="T23" s="5"/>
      <c r="Z23" s="6">
        <f t="shared" ref="Z23:Z24" si="5">sum(N23:Y23)</f>
        <v>172532.09</v>
      </c>
    </row>
    <row r="24" ht="15.75" customHeight="1">
      <c r="A24" s="4" t="s">
        <v>3</v>
      </c>
      <c r="C24" s="7">
        <v>1.0</v>
      </c>
      <c r="D24" s="7">
        <v>5.0</v>
      </c>
      <c r="E24" s="7">
        <v>2.0</v>
      </c>
      <c r="F24" s="7">
        <v>3.0</v>
      </c>
      <c r="G24" s="7">
        <v>13.0</v>
      </c>
      <c r="H24" s="7">
        <v>13.0</v>
      </c>
      <c r="I24" s="7">
        <v>10.0</v>
      </c>
      <c r="J24" s="7">
        <v>13.0</v>
      </c>
      <c r="K24" s="7">
        <v>16.0</v>
      </c>
      <c r="L24" s="7">
        <v>6.0</v>
      </c>
      <c r="M24" s="7">
        <v>2.0</v>
      </c>
      <c r="N24" s="7">
        <v>7.0</v>
      </c>
      <c r="O24" s="7">
        <v>2.0</v>
      </c>
      <c r="P24" s="7">
        <v>14.0</v>
      </c>
      <c r="Q24" s="7">
        <v>12.0</v>
      </c>
      <c r="R24" s="7">
        <v>10.0</v>
      </c>
      <c r="S24" s="7"/>
      <c r="W24" s="11"/>
      <c r="Z24" s="4">
        <f t="shared" si="5"/>
        <v>45</v>
      </c>
    </row>
    <row r="25" ht="15.75" customHeight="1">
      <c r="A25" s="4" t="s">
        <v>4</v>
      </c>
      <c r="C25" s="5">
        <v>18650.58</v>
      </c>
      <c r="D25" s="5">
        <v>6186.12</v>
      </c>
      <c r="E25" s="5">
        <v>5110.3</v>
      </c>
      <c r="F25" s="5">
        <v>13646.78</v>
      </c>
      <c r="G25" s="5">
        <v>2440.45</v>
      </c>
      <c r="H25" s="5">
        <v>4588.73</v>
      </c>
      <c r="I25" s="5">
        <v>5234.12</v>
      </c>
      <c r="J25" s="5">
        <v>3382.18</v>
      </c>
      <c r="K25" s="5">
        <v>3439.72</v>
      </c>
      <c r="L25" s="5">
        <v>5145.36</v>
      </c>
      <c r="M25" s="5">
        <v>2710.81</v>
      </c>
      <c r="N25" s="5">
        <v>1297.15</v>
      </c>
      <c r="O25" s="5">
        <v>2856.82</v>
      </c>
      <c r="P25" s="5">
        <v>3929.49</v>
      </c>
      <c r="Q25" s="5">
        <v>1153.77</v>
      </c>
      <c r="R25" s="5">
        <v>8888.02</v>
      </c>
      <c r="T25" s="12"/>
      <c r="W25" s="11"/>
      <c r="Z25" s="6">
        <f>average(N25:Y25)</f>
        <v>3625.05</v>
      </c>
    </row>
    <row r="26" ht="15.75" customHeight="1">
      <c r="A26" s="8" t="s">
        <v>5</v>
      </c>
      <c r="B26" s="10"/>
      <c r="C26" s="9">
        <v>0.1333</v>
      </c>
      <c r="D26" s="9">
        <v>0.1667</v>
      </c>
      <c r="E26" s="9">
        <v>0.3514</v>
      </c>
      <c r="F26" s="9">
        <v>0.375</v>
      </c>
      <c r="G26" s="9">
        <v>0.3778</v>
      </c>
      <c r="H26" s="9">
        <v>0.3226</v>
      </c>
      <c r="I26" s="9">
        <v>0.4359</v>
      </c>
      <c r="J26" s="9">
        <v>0.4286</v>
      </c>
      <c r="K26" s="9">
        <v>0.4366</v>
      </c>
      <c r="L26" s="9">
        <v>0.3457</v>
      </c>
      <c r="M26" s="9">
        <v>0.3222</v>
      </c>
      <c r="N26" s="9">
        <v>0.2568</v>
      </c>
      <c r="O26" s="9">
        <v>0.1905</v>
      </c>
      <c r="P26" s="9">
        <v>0.2281</v>
      </c>
      <c r="Q26" s="9">
        <v>0.3243</v>
      </c>
      <c r="R26" s="9">
        <v>0.3297</v>
      </c>
      <c r="S26" s="9"/>
      <c r="T26" s="14"/>
      <c r="U26" s="10"/>
      <c r="V26" s="10"/>
      <c r="W26" s="10"/>
      <c r="X26" s="10"/>
      <c r="Y26" s="10"/>
      <c r="Z26" s="10">
        <f>average(R26:Y26)</f>
        <v>0.3297</v>
      </c>
    </row>
    <row r="27" ht="15.75" customHeight="1"/>
    <row r="28" ht="15.75" customHeight="1"/>
    <row r="29" ht="15.75" customHeight="1">
      <c r="A29" s="1" t="s">
        <v>10</v>
      </c>
      <c r="B29" s="2">
        <v>45658.0</v>
      </c>
      <c r="C29" s="2">
        <v>45689.0</v>
      </c>
      <c r="D29" s="2">
        <v>45717.0</v>
      </c>
      <c r="E29" s="2">
        <v>45748.0</v>
      </c>
      <c r="F29" s="2">
        <v>45778.0</v>
      </c>
      <c r="G29" s="2">
        <v>45809.0</v>
      </c>
      <c r="H29" s="2">
        <v>45839.0</v>
      </c>
      <c r="I29" s="2">
        <v>45870.0</v>
      </c>
      <c r="J29" s="2">
        <v>45901.0</v>
      </c>
      <c r="K29" s="2">
        <v>45931.0</v>
      </c>
      <c r="L29" s="4" t="s">
        <v>7</v>
      </c>
      <c r="M29" s="2">
        <v>45992.0</v>
      </c>
      <c r="N29" s="2">
        <v>46023.0</v>
      </c>
      <c r="O29" s="2">
        <v>46054.0</v>
      </c>
      <c r="P29" s="2">
        <v>46082.0</v>
      </c>
      <c r="Q29" s="2">
        <v>46113.0</v>
      </c>
      <c r="R29" s="2">
        <v>46143.0</v>
      </c>
      <c r="S29" s="2">
        <v>46174.0</v>
      </c>
      <c r="T29" s="2">
        <v>46204.0</v>
      </c>
      <c r="U29" s="2">
        <v>46235.0</v>
      </c>
      <c r="V29" s="2">
        <v>46266.0</v>
      </c>
      <c r="W29" s="2">
        <v>46296.0</v>
      </c>
      <c r="X29" s="2">
        <v>46327.0</v>
      </c>
      <c r="Y29" s="2">
        <v>46357.0</v>
      </c>
      <c r="Z29" s="4" t="s">
        <v>1</v>
      </c>
    </row>
    <row r="30" ht="15.75" customHeight="1">
      <c r="A30" s="4" t="s">
        <v>2</v>
      </c>
      <c r="B30" s="5">
        <v>55872.76</v>
      </c>
      <c r="C30" s="5">
        <v>2336.73</v>
      </c>
      <c r="D30" s="5">
        <v>33592.39</v>
      </c>
      <c r="E30" s="5">
        <v>21413.67</v>
      </c>
      <c r="F30" s="5">
        <v>186331.34</v>
      </c>
      <c r="G30" s="5">
        <v>163356.3</v>
      </c>
      <c r="H30" s="5">
        <v>93899.31</v>
      </c>
      <c r="I30" s="5">
        <v>95663.96</v>
      </c>
      <c r="J30" s="5">
        <v>52111.35</v>
      </c>
      <c r="K30" s="5">
        <v>205694.01</v>
      </c>
      <c r="L30" s="5">
        <v>38500.4</v>
      </c>
      <c r="M30" s="5">
        <v>14861.34</v>
      </c>
      <c r="N30" s="11"/>
      <c r="O30" s="5">
        <v>8067.86</v>
      </c>
      <c r="P30" s="5">
        <v>108802.59</v>
      </c>
      <c r="Q30" s="5">
        <v>149911.53</v>
      </c>
      <c r="R30" s="5">
        <v>158044.97</v>
      </c>
      <c r="S30" s="5"/>
      <c r="T30" s="5"/>
      <c r="Z30" s="6">
        <f t="shared" ref="Z30:Z31" si="6">sum(N30:Y30)</f>
        <v>424826.95</v>
      </c>
    </row>
    <row r="31" ht="15.75" customHeight="1">
      <c r="A31" s="4" t="s">
        <v>3</v>
      </c>
      <c r="B31" s="7">
        <v>2.0</v>
      </c>
      <c r="C31" s="7">
        <v>2.0</v>
      </c>
      <c r="D31" s="7">
        <v>1.0</v>
      </c>
      <c r="E31" s="7">
        <v>8.0</v>
      </c>
      <c r="F31" s="7">
        <v>13.0</v>
      </c>
      <c r="G31" s="7">
        <v>8.0</v>
      </c>
      <c r="H31" s="7">
        <v>10.0</v>
      </c>
      <c r="I31" s="7">
        <v>2.0</v>
      </c>
      <c r="J31" s="7">
        <v>4.0</v>
      </c>
      <c r="K31" s="7">
        <v>17.0</v>
      </c>
      <c r="L31" s="7">
        <v>5.0</v>
      </c>
      <c r="M31" s="7">
        <v>8.0</v>
      </c>
      <c r="O31" s="7">
        <v>1.0</v>
      </c>
      <c r="P31" s="7">
        <v>9.0</v>
      </c>
      <c r="Q31" s="7">
        <v>16.0</v>
      </c>
      <c r="R31" s="7">
        <v>9.0</v>
      </c>
      <c r="S31" s="7"/>
      <c r="T31" s="7"/>
      <c r="Z31" s="4">
        <f t="shared" si="6"/>
        <v>35</v>
      </c>
    </row>
    <row r="32" ht="15.75" customHeight="1">
      <c r="A32" s="4" t="s">
        <v>4</v>
      </c>
      <c r="B32" s="5">
        <v>27936.38</v>
      </c>
      <c r="C32" s="5">
        <v>1168.36</v>
      </c>
      <c r="D32" s="5">
        <v>33592.39</v>
      </c>
      <c r="E32" s="5">
        <v>2676.71</v>
      </c>
      <c r="F32" s="5">
        <v>14333.18</v>
      </c>
      <c r="G32" s="5">
        <v>20419.54</v>
      </c>
      <c r="H32" s="5">
        <v>9389.93</v>
      </c>
      <c r="I32" s="5">
        <v>47831.98</v>
      </c>
      <c r="J32" s="5">
        <v>13027.84</v>
      </c>
      <c r="K32" s="5">
        <v>12099.65</v>
      </c>
      <c r="L32" s="5">
        <v>7700.08</v>
      </c>
      <c r="M32" s="5">
        <v>1857.67</v>
      </c>
      <c r="O32" s="5">
        <v>8067.86</v>
      </c>
      <c r="P32" s="5">
        <v>12089.18</v>
      </c>
      <c r="Q32" s="5">
        <v>9369.47</v>
      </c>
      <c r="R32" s="5">
        <v>17560.55</v>
      </c>
      <c r="Z32" s="6">
        <f>average(N32:Y32)</f>
        <v>11771.765</v>
      </c>
    </row>
    <row r="33" ht="15.75" customHeight="1">
      <c r="A33" s="8" t="s">
        <v>5</v>
      </c>
      <c r="B33" s="9">
        <v>0.4375</v>
      </c>
      <c r="C33" s="9">
        <v>0.4</v>
      </c>
      <c r="D33" s="9">
        <v>0.4</v>
      </c>
      <c r="E33" s="9">
        <v>0.4</v>
      </c>
      <c r="F33" s="9">
        <v>0.4167</v>
      </c>
      <c r="G33" s="9">
        <v>0.4</v>
      </c>
      <c r="H33" s="9">
        <v>0.4211</v>
      </c>
      <c r="I33" s="9">
        <v>0.451</v>
      </c>
      <c r="J33" s="9">
        <v>0.5161</v>
      </c>
      <c r="K33" s="9">
        <v>0.5128</v>
      </c>
      <c r="L33" s="9">
        <v>0.3913</v>
      </c>
      <c r="M33" s="9">
        <v>0.46</v>
      </c>
      <c r="N33" s="9">
        <v>0.325</v>
      </c>
      <c r="O33" s="9">
        <v>0.3333</v>
      </c>
      <c r="P33" s="9">
        <v>0.2564</v>
      </c>
      <c r="Q33" s="9">
        <v>0.3238</v>
      </c>
      <c r="R33" s="9">
        <v>0.2432</v>
      </c>
      <c r="S33" s="9"/>
      <c r="T33" s="10"/>
      <c r="U33" s="10"/>
      <c r="V33" s="10"/>
      <c r="W33" s="10"/>
      <c r="X33" s="10"/>
      <c r="Y33" s="10"/>
      <c r="Z33" s="10">
        <f>average(R33:Y33)</f>
        <v>0.2432</v>
      </c>
    </row>
    <row r="34" ht="15.75" customHeight="1"/>
    <row r="35" ht="15.75" customHeight="1"/>
    <row r="36" ht="15.75" customHeight="1">
      <c r="A36" s="1" t="s">
        <v>11</v>
      </c>
      <c r="B36" s="2">
        <v>45658.0</v>
      </c>
      <c r="C36" s="2">
        <v>45689.0</v>
      </c>
      <c r="D36" s="2">
        <v>45717.0</v>
      </c>
      <c r="E36" s="2">
        <v>45748.0</v>
      </c>
      <c r="F36" s="2">
        <v>45778.0</v>
      </c>
      <c r="G36" s="2">
        <v>45809.0</v>
      </c>
      <c r="H36" s="2">
        <v>45839.0</v>
      </c>
      <c r="I36" s="2">
        <v>45870.0</v>
      </c>
      <c r="J36" s="2">
        <v>45901.0</v>
      </c>
      <c r="K36" s="2">
        <v>45931.0</v>
      </c>
      <c r="L36" s="4" t="s">
        <v>7</v>
      </c>
      <c r="M36" s="2">
        <v>45992.0</v>
      </c>
      <c r="N36" s="2">
        <v>46023.0</v>
      </c>
      <c r="O36" s="2">
        <v>46054.0</v>
      </c>
      <c r="P36" s="2">
        <v>46082.0</v>
      </c>
      <c r="Q36" s="2">
        <v>46113.0</v>
      </c>
      <c r="R36" s="2">
        <v>46143.0</v>
      </c>
      <c r="S36" s="2">
        <v>46174.0</v>
      </c>
      <c r="T36" s="2">
        <v>46204.0</v>
      </c>
      <c r="U36" s="2">
        <v>46235.0</v>
      </c>
      <c r="V36" s="2">
        <v>46266.0</v>
      </c>
      <c r="W36" s="2">
        <v>46296.0</v>
      </c>
      <c r="X36" s="2">
        <v>46327.0</v>
      </c>
      <c r="Y36" s="2">
        <v>46357.0</v>
      </c>
      <c r="Z36" s="4" t="s">
        <v>1</v>
      </c>
    </row>
    <row r="37" ht="15.75" customHeight="1">
      <c r="A37" s="4" t="s">
        <v>2</v>
      </c>
      <c r="P37" s="5">
        <v>9374.61</v>
      </c>
      <c r="Q37" s="5">
        <v>123258.92</v>
      </c>
      <c r="R37" s="5">
        <v>152476.32</v>
      </c>
      <c r="S37" s="5"/>
      <c r="T37" s="5"/>
      <c r="Z37" s="6">
        <f t="shared" ref="Z37:Z38" si="7">sum(N37:Y37)</f>
        <v>285109.85</v>
      </c>
    </row>
    <row r="38" ht="15.75" customHeight="1">
      <c r="A38" s="4" t="s">
        <v>3</v>
      </c>
      <c r="P38" s="7">
        <v>5.0</v>
      </c>
      <c r="Q38" s="7">
        <v>12.0</v>
      </c>
      <c r="R38" s="7">
        <v>12.0</v>
      </c>
      <c r="S38" s="7"/>
      <c r="T38" s="7"/>
      <c r="Z38" s="4">
        <f t="shared" si="7"/>
        <v>29</v>
      </c>
    </row>
    <row r="39" ht="15.75" customHeight="1">
      <c r="A39" s="4" t="s">
        <v>4</v>
      </c>
      <c r="L39" s="11"/>
      <c r="P39" s="5">
        <v>1874.92</v>
      </c>
      <c r="Q39" s="5">
        <v>10271.58</v>
      </c>
      <c r="R39" s="5">
        <v>12706.36</v>
      </c>
      <c r="Z39" s="6">
        <f>average(N39:Y39)</f>
        <v>8284.286667</v>
      </c>
    </row>
    <row r="40" ht="15.75" customHeight="1">
      <c r="A40" s="8" t="s">
        <v>5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>
        <v>0.1111</v>
      </c>
      <c r="Q40" s="9">
        <v>0.2828</v>
      </c>
      <c r="R40" s="9">
        <v>0.2667</v>
      </c>
      <c r="S40" s="9"/>
      <c r="T40" s="10"/>
      <c r="U40" s="10"/>
      <c r="V40" s="10"/>
      <c r="W40" s="10"/>
      <c r="X40" s="10"/>
      <c r="Y40" s="10"/>
      <c r="Z40" s="10">
        <f>average(R40:Y40)</f>
        <v>0.2667</v>
      </c>
    </row>
    <row r="41" ht="15.75" customHeight="1">
      <c r="Q41" s="9"/>
      <c r="R41" s="9"/>
    </row>
    <row r="42" ht="15.75" customHeight="1"/>
    <row r="43" ht="15.75" customHeight="1">
      <c r="A43" s="1" t="s">
        <v>12</v>
      </c>
      <c r="B43" s="2">
        <v>45658.0</v>
      </c>
      <c r="C43" s="2">
        <v>45689.0</v>
      </c>
      <c r="D43" s="2">
        <v>45717.0</v>
      </c>
      <c r="E43" s="2">
        <v>45748.0</v>
      </c>
      <c r="F43" s="2">
        <v>45778.0</v>
      </c>
      <c r="G43" s="2">
        <v>45809.0</v>
      </c>
      <c r="H43" s="2">
        <v>45839.0</v>
      </c>
      <c r="I43" s="2">
        <v>45870.0</v>
      </c>
      <c r="J43" s="2">
        <v>45901.0</v>
      </c>
      <c r="K43" s="2">
        <v>45931.0</v>
      </c>
      <c r="L43" s="4" t="s">
        <v>7</v>
      </c>
      <c r="M43" s="2">
        <v>45992.0</v>
      </c>
      <c r="N43" s="2">
        <v>46023.0</v>
      </c>
      <c r="O43" s="2">
        <v>46054.0</v>
      </c>
      <c r="P43" s="2">
        <v>46082.0</v>
      </c>
      <c r="Q43" s="2">
        <v>46113.0</v>
      </c>
      <c r="R43" s="2">
        <v>46143.0</v>
      </c>
      <c r="S43" s="2">
        <v>46174.0</v>
      </c>
      <c r="T43" s="2">
        <v>46204.0</v>
      </c>
      <c r="U43" s="2">
        <v>46235.0</v>
      </c>
      <c r="V43" s="2">
        <v>46266.0</v>
      </c>
      <c r="W43" s="2">
        <v>46296.0</v>
      </c>
      <c r="X43" s="2">
        <v>46327.0</v>
      </c>
      <c r="Y43" s="2">
        <v>46357.0</v>
      </c>
      <c r="Z43" s="4" t="s">
        <v>1</v>
      </c>
    </row>
    <row r="44" ht="15.75" customHeight="1">
      <c r="A44" s="4" t="s">
        <v>2</v>
      </c>
      <c r="P44" s="5">
        <v>816.62</v>
      </c>
      <c r="Q44" s="5">
        <v>124770.34</v>
      </c>
      <c r="R44" s="5">
        <v>78978.19</v>
      </c>
      <c r="S44" s="5"/>
      <c r="T44" s="5"/>
      <c r="Z44" s="6">
        <f t="shared" ref="Z44:Z45" si="8">sum(N44:Y44)</f>
        <v>204565.15</v>
      </c>
    </row>
    <row r="45" ht="15.75" customHeight="1">
      <c r="A45" s="4" t="s">
        <v>3</v>
      </c>
      <c r="P45" s="7">
        <v>2.0</v>
      </c>
      <c r="Q45" s="7">
        <v>13.0</v>
      </c>
      <c r="R45" s="7">
        <v>15.0</v>
      </c>
      <c r="S45" s="7"/>
      <c r="T45" s="7"/>
      <c r="Z45" s="4">
        <f t="shared" si="8"/>
        <v>30</v>
      </c>
    </row>
    <row r="46" ht="15.75" customHeight="1">
      <c r="A46" s="4" t="s">
        <v>4</v>
      </c>
      <c r="P46" s="5">
        <v>408.31</v>
      </c>
      <c r="Q46" s="5">
        <v>9597.72</v>
      </c>
      <c r="R46" s="5">
        <v>5265.21</v>
      </c>
      <c r="Z46" s="6">
        <f>average(N46:Y46)</f>
        <v>5090.413333</v>
      </c>
    </row>
    <row r="47" ht="15.75" customHeight="1">
      <c r="A47" s="8" t="s">
        <v>5</v>
      </c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9"/>
      <c r="P47" s="9"/>
      <c r="Q47" s="9">
        <v>0.2727</v>
      </c>
      <c r="R47" s="9">
        <v>0.296</v>
      </c>
      <c r="S47" s="9"/>
      <c r="T47" s="10"/>
      <c r="U47" s="10"/>
      <c r="V47" s="10"/>
      <c r="W47" s="10"/>
      <c r="X47" s="10"/>
      <c r="Y47" s="10"/>
      <c r="Z47" s="10">
        <f>average(R47:Y47)</f>
        <v>0.296</v>
      </c>
    </row>
    <row r="48" ht="15.75" customHeight="1"/>
    <row r="49" ht="15.75" customHeight="1"/>
    <row r="50" ht="15.75" customHeight="1">
      <c r="A50" s="1" t="s">
        <v>13</v>
      </c>
      <c r="B50" s="2">
        <v>45658.0</v>
      </c>
      <c r="C50" s="2">
        <v>45689.0</v>
      </c>
      <c r="D50" s="2">
        <v>45717.0</v>
      </c>
      <c r="E50" s="2">
        <v>45748.0</v>
      </c>
      <c r="F50" s="2">
        <v>45778.0</v>
      </c>
      <c r="G50" s="2">
        <v>45809.0</v>
      </c>
      <c r="H50" s="2">
        <v>45839.0</v>
      </c>
      <c r="I50" s="2">
        <v>45870.0</v>
      </c>
      <c r="J50" s="2">
        <v>45901.0</v>
      </c>
      <c r="K50" s="2">
        <v>45931.0</v>
      </c>
      <c r="L50" s="4" t="s">
        <v>7</v>
      </c>
      <c r="M50" s="2">
        <v>45992.0</v>
      </c>
      <c r="N50" s="2">
        <v>46023.0</v>
      </c>
      <c r="O50" s="2">
        <v>46054.0</v>
      </c>
      <c r="P50" s="2">
        <v>46082.0</v>
      </c>
      <c r="Q50" s="2">
        <v>46113.0</v>
      </c>
      <c r="R50" s="2">
        <v>46143.0</v>
      </c>
      <c r="S50" s="2">
        <v>46174.0</v>
      </c>
      <c r="T50" s="2">
        <v>46204.0</v>
      </c>
      <c r="U50" s="2">
        <v>46235.0</v>
      </c>
      <c r="V50" s="2">
        <v>46266.0</v>
      </c>
      <c r="W50" s="2">
        <v>46296.0</v>
      </c>
      <c r="X50" s="2">
        <v>46327.0</v>
      </c>
      <c r="Y50" s="2">
        <v>46357.0</v>
      </c>
      <c r="Z50" s="4" t="s">
        <v>1</v>
      </c>
    </row>
    <row r="51" ht="15.75" customHeight="1">
      <c r="A51" s="4" t="s">
        <v>2</v>
      </c>
      <c r="D51" s="5">
        <v>100.0</v>
      </c>
      <c r="E51" s="5">
        <v>16769.23</v>
      </c>
      <c r="F51" s="5">
        <v>23954.74</v>
      </c>
      <c r="H51" s="5">
        <v>106322.49</v>
      </c>
      <c r="I51" s="5">
        <v>3769.0</v>
      </c>
      <c r="L51" s="11"/>
      <c r="M51" s="5">
        <v>2632.6</v>
      </c>
      <c r="O51" s="5">
        <v>33846.16</v>
      </c>
      <c r="P51" s="5">
        <v>1121.66</v>
      </c>
      <c r="Q51" s="5">
        <v>109114.01</v>
      </c>
      <c r="R51" s="5">
        <v>52999.57</v>
      </c>
      <c r="S51" s="5"/>
      <c r="T51" s="5"/>
      <c r="Z51" s="6">
        <f t="shared" ref="Z51:Z52" si="9">sum(N51:Y51)</f>
        <v>197081.4</v>
      </c>
    </row>
    <row r="52" ht="15.75" customHeight="1">
      <c r="A52" s="4" t="s">
        <v>3</v>
      </c>
      <c r="D52" s="7">
        <v>1.0</v>
      </c>
      <c r="E52" s="7">
        <v>1.0</v>
      </c>
      <c r="F52" s="7">
        <v>2.0</v>
      </c>
      <c r="H52" s="7">
        <v>3.0</v>
      </c>
      <c r="I52" s="7">
        <v>1.0</v>
      </c>
      <c r="M52" s="7">
        <v>1.0</v>
      </c>
      <c r="O52" s="7">
        <v>2.0</v>
      </c>
      <c r="P52" s="7">
        <v>3.0</v>
      </c>
      <c r="Q52" s="7">
        <v>9.0</v>
      </c>
      <c r="R52" s="7">
        <v>3.0</v>
      </c>
      <c r="S52" s="7"/>
      <c r="T52" s="7"/>
      <c r="Z52" s="4">
        <f t="shared" si="9"/>
        <v>17</v>
      </c>
    </row>
    <row r="53" ht="15.75" customHeight="1">
      <c r="A53" s="4" t="s">
        <v>4</v>
      </c>
      <c r="D53" s="5">
        <v>100.0</v>
      </c>
      <c r="E53" s="5">
        <v>16769.23</v>
      </c>
      <c r="F53" s="5">
        <v>11977.37</v>
      </c>
      <c r="H53" s="5">
        <v>35440.83</v>
      </c>
      <c r="I53" s="5">
        <v>3769.0</v>
      </c>
      <c r="M53" s="5">
        <v>2632.6</v>
      </c>
      <c r="O53" s="5">
        <v>16923.08</v>
      </c>
      <c r="P53" s="5">
        <v>373.89</v>
      </c>
      <c r="Q53" s="5">
        <v>12123.78</v>
      </c>
      <c r="R53" s="5">
        <v>17666.52</v>
      </c>
      <c r="Z53" s="6">
        <f>average(N53:Y53)</f>
        <v>11771.8175</v>
      </c>
    </row>
    <row r="54" ht="15.75" customHeight="1">
      <c r="A54" s="8" t="s">
        <v>5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9">
        <v>1.0</v>
      </c>
      <c r="N54" s="9">
        <v>1.0</v>
      </c>
      <c r="O54" s="9">
        <v>0.5</v>
      </c>
      <c r="P54" s="9">
        <v>0.4286</v>
      </c>
      <c r="Q54" s="9">
        <v>0.4848</v>
      </c>
      <c r="R54" s="9">
        <v>0.4118</v>
      </c>
      <c r="S54" s="10"/>
      <c r="T54" s="10"/>
      <c r="U54" s="10"/>
      <c r="V54" s="10"/>
      <c r="W54" s="10"/>
      <c r="X54" s="10"/>
      <c r="Y54" s="10"/>
      <c r="Z54" s="10">
        <f>average(R54:Y54)</f>
        <v>0.4118</v>
      </c>
    </row>
    <row r="55" ht="15.75" customHeight="1">
      <c r="B55" s="2"/>
      <c r="C55" s="2"/>
      <c r="D55" s="2"/>
      <c r="E55" s="2"/>
      <c r="F55" s="2"/>
      <c r="G55" s="2"/>
      <c r="H55" s="2"/>
      <c r="I55" s="2"/>
      <c r="J55" s="2"/>
      <c r="K55" s="2"/>
      <c r="L55" s="4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4"/>
    </row>
    <row r="56" ht="15.75" customHeight="1">
      <c r="B56" s="2">
        <v>45658.0</v>
      </c>
      <c r="C56" s="2">
        <v>45689.0</v>
      </c>
      <c r="D56" s="2">
        <v>45717.0</v>
      </c>
      <c r="E56" s="2">
        <v>45748.0</v>
      </c>
      <c r="F56" s="2">
        <v>45778.0</v>
      </c>
      <c r="G56" s="2">
        <v>45809.0</v>
      </c>
      <c r="H56" s="2">
        <v>45839.0</v>
      </c>
      <c r="I56" s="2">
        <v>45870.0</v>
      </c>
      <c r="J56" s="2">
        <v>45901.0</v>
      </c>
      <c r="K56" s="2">
        <v>45931.0</v>
      </c>
      <c r="L56" s="4" t="s">
        <v>7</v>
      </c>
      <c r="M56" s="2">
        <v>45992.0</v>
      </c>
      <c r="N56" s="2">
        <v>46023.0</v>
      </c>
      <c r="O56" s="2">
        <v>46054.0</v>
      </c>
      <c r="P56" s="2">
        <v>46082.0</v>
      </c>
      <c r="Q56" s="2">
        <v>46113.0</v>
      </c>
      <c r="R56" s="2">
        <v>46143.0</v>
      </c>
      <c r="S56" s="2">
        <v>46174.0</v>
      </c>
      <c r="T56" s="2">
        <v>46204.0</v>
      </c>
      <c r="U56" s="2">
        <v>46235.0</v>
      </c>
      <c r="V56" s="2">
        <v>46266.0</v>
      </c>
      <c r="W56" s="2">
        <v>46296.0</v>
      </c>
      <c r="X56" s="2">
        <v>46327.0</v>
      </c>
      <c r="Y56" s="2">
        <v>46357.0</v>
      </c>
      <c r="Z56" s="4" t="s">
        <v>1</v>
      </c>
    </row>
    <row r="57" ht="15.75" customHeight="1">
      <c r="A57" s="4" t="s">
        <v>2</v>
      </c>
      <c r="B57" s="6">
        <f t="shared" ref="B57:Y57" si="10">sum(B51,B44,B37,B30,B23,B16,B9,B2)</f>
        <v>89497.5</v>
      </c>
      <c r="C57" s="6">
        <f t="shared" si="10"/>
        <v>96780.4</v>
      </c>
      <c r="D57" s="6">
        <f t="shared" si="10"/>
        <v>266185.41</v>
      </c>
      <c r="E57" s="6">
        <f t="shared" si="10"/>
        <v>191108.77</v>
      </c>
      <c r="F57" s="6">
        <f t="shared" si="10"/>
        <v>478352.55</v>
      </c>
      <c r="G57" s="6">
        <f t="shared" si="10"/>
        <v>732280.47</v>
      </c>
      <c r="H57" s="6">
        <f t="shared" si="10"/>
        <v>684300.08</v>
      </c>
      <c r="I57" s="6">
        <f t="shared" si="10"/>
        <v>318537.92</v>
      </c>
      <c r="J57" s="6">
        <f t="shared" si="10"/>
        <v>337890.59</v>
      </c>
      <c r="K57" s="6">
        <f t="shared" si="10"/>
        <v>691198.5</v>
      </c>
      <c r="L57" s="6">
        <f t="shared" si="10"/>
        <v>265364.49</v>
      </c>
      <c r="M57" s="6">
        <f t="shared" si="10"/>
        <v>122687.55</v>
      </c>
      <c r="N57" s="6">
        <f t="shared" si="10"/>
        <v>165703.1</v>
      </c>
      <c r="O57" s="6">
        <f t="shared" si="10"/>
        <v>96916.54</v>
      </c>
      <c r="P57" s="6">
        <f t="shared" si="10"/>
        <v>368073.39</v>
      </c>
      <c r="Q57" s="6">
        <f t="shared" si="10"/>
        <v>1347302.95</v>
      </c>
      <c r="R57" s="6">
        <f t="shared" si="10"/>
        <v>1175433.54</v>
      </c>
      <c r="S57" s="15">
        <f t="shared" si="10"/>
        <v>0</v>
      </c>
      <c r="T57" s="15">
        <f t="shared" si="10"/>
        <v>0</v>
      </c>
      <c r="U57" s="4">
        <f t="shared" si="10"/>
        <v>0</v>
      </c>
      <c r="V57" s="4">
        <f t="shared" si="10"/>
        <v>0</v>
      </c>
      <c r="W57" s="4">
        <f t="shared" si="10"/>
        <v>0</v>
      </c>
      <c r="X57" s="4">
        <f t="shared" si="10"/>
        <v>0</v>
      </c>
      <c r="Y57" s="4">
        <f t="shared" si="10"/>
        <v>0</v>
      </c>
      <c r="Z57" s="6">
        <f>sum(N57:Y57)</f>
        <v>3153429.52</v>
      </c>
    </row>
    <row r="58" ht="15.75" customHeight="1">
      <c r="A58" s="4" t="s">
        <v>14</v>
      </c>
      <c r="B58" s="6">
        <f t="shared" ref="B58:Z58" si="11">average(B51,B44,B37,B30,B23,B16,B9,B2)</f>
        <v>44748.75</v>
      </c>
      <c r="C58" s="6">
        <f t="shared" si="11"/>
        <v>24195.1</v>
      </c>
      <c r="D58" s="6">
        <f t="shared" si="11"/>
        <v>53237.082</v>
      </c>
      <c r="E58" s="6">
        <f t="shared" si="11"/>
        <v>31851.46167</v>
      </c>
      <c r="F58" s="6">
        <f t="shared" si="11"/>
        <v>79725.425</v>
      </c>
      <c r="G58" s="6">
        <f t="shared" si="11"/>
        <v>146456.094</v>
      </c>
      <c r="H58" s="6">
        <f t="shared" si="11"/>
        <v>114050.0133</v>
      </c>
      <c r="I58" s="6">
        <f t="shared" si="11"/>
        <v>53089.65333</v>
      </c>
      <c r="J58" s="6">
        <f t="shared" si="11"/>
        <v>67578.118</v>
      </c>
      <c r="K58" s="6">
        <f t="shared" si="11"/>
        <v>138239.7</v>
      </c>
      <c r="L58" s="6">
        <f t="shared" si="11"/>
        <v>53072.898</v>
      </c>
      <c r="M58" s="6">
        <f t="shared" si="11"/>
        <v>20447.925</v>
      </c>
      <c r="N58" s="6">
        <f t="shared" si="11"/>
        <v>55234.36667</v>
      </c>
      <c r="O58" s="6">
        <f t="shared" si="11"/>
        <v>19383.308</v>
      </c>
      <c r="P58" s="6">
        <f t="shared" si="11"/>
        <v>46009.17375</v>
      </c>
      <c r="Q58" s="6">
        <f t="shared" si="11"/>
        <v>168412.8688</v>
      </c>
      <c r="R58" s="6">
        <f t="shared" si="11"/>
        <v>146929.1925</v>
      </c>
      <c r="S58" s="4" t="str">
        <f t="shared" si="11"/>
        <v>#DIV/0!</v>
      </c>
      <c r="T58" s="4" t="str">
        <f t="shared" si="11"/>
        <v>#DIV/0!</v>
      </c>
      <c r="U58" s="4" t="str">
        <f t="shared" si="11"/>
        <v>#DIV/0!</v>
      </c>
      <c r="V58" s="4" t="str">
        <f t="shared" si="11"/>
        <v>#DIV/0!</v>
      </c>
      <c r="W58" s="4" t="str">
        <f t="shared" si="11"/>
        <v>#DIV/0!</v>
      </c>
      <c r="X58" s="4" t="str">
        <f t="shared" si="11"/>
        <v>#DIV/0!</v>
      </c>
      <c r="Y58" s="4" t="str">
        <f t="shared" si="11"/>
        <v>#DIV/0!</v>
      </c>
      <c r="Z58" s="6">
        <f t="shared" si="11"/>
        <v>394178.69</v>
      </c>
    </row>
    <row r="59" ht="15.75" customHeight="1">
      <c r="A59" s="4" t="s">
        <v>3</v>
      </c>
      <c r="B59" s="16">
        <f t="shared" ref="B59:R59" si="12">AVERAGE(B52,B45,B38,B31,B24,B17,B10,B3)</f>
        <v>2</v>
      </c>
      <c r="C59" s="16">
        <f t="shared" si="12"/>
        <v>1.75</v>
      </c>
      <c r="D59" s="16">
        <f t="shared" si="12"/>
        <v>3.4</v>
      </c>
      <c r="E59" s="16">
        <f t="shared" si="12"/>
        <v>4</v>
      </c>
      <c r="F59" s="16">
        <f t="shared" si="12"/>
        <v>6.5</v>
      </c>
      <c r="G59" s="16">
        <f t="shared" si="12"/>
        <v>12</v>
      </c>
      <c r="H59" s="16">
        <f t="shared" si="12"/>
        <v>7.333333333</v>
      </c>
      <c r="I59" s="16">
        <f t="shared" si="12"/>
        <v>5.5</v>
      </c>
      <c r="J59" s="16">
        <f t="shared" si="12"/>
        <v>7.2</v>
      </c>
      <c r="K59" s="16">
        <f t="shared" si="12"/>
        <v>14.2</v>
      </c>
      <c r="L59" s="16">
        <f t="shared" si="12"/>
        <v>7</v>
      </c>
      <c r="M59" s="16">
        <f t="shared" si="12"/>
        <v>3.5</v>
      </c>
      <c r="N59" s="16">
        <f t="shared" si="12"/>
        <v>5.666666667</v>
      </c>
      <c r="O59" s="16">
        <f t="shared" si="12"/>
        <v>3.4</v>
      </c>
      <c r="P59" s="16">
        <f t="shared" si="12"/>
        <v>7.125</v>
      </c>
      <c r="Q59" s="16">
        <f t="shared" si="12"/>
        <v>15.875</v>
      </c>
      <c r="R59" s="16">
        <f t="shared" si="12"/>
        <v>11.125</v>
      </c>
      <c r="S59" s="4">
        <f t="shared" ref="S59:Y59" si="13">sum(S52,S45,S38,S31,S24,S17,S10,S3)</f>
        <v>0</v>
      </c>
      <c r="T59" s="4">
        <f t="shared" si="13"/>
        <v>0</v>
      </c>
      <c r="U59" s="4">
        <f t="shared" si="13"/>
        <v>0</v>
      </c>
      <c r="V59" s="4">
        <f t="shared" si="13"/>
        <v>0</v>
      </c>
      <c r="W59" s="4">
        <f t="shared" si="13"/>
        <v>0</v>
      </c>
      <c r="X59" s="4">
        <f t="shared" si="13"/>
        <v>0</v>
      </c>
      <c r="Y59" s="4">
        <f t="shared" si="13"/>
        <v>0</v>
      </c>
      <c r="Z59" s="16">
        <f>sum(N59:Y59)</f>
        <v>43.19166667</v>
      </c>
    </row>
    <row r="60" ht="15.75" customHeight="1">
      <c r="A60" s="4" t="s">
        <v>4</v>
      </c>
      <c r="B60" s="6">
        <f t="shared" ref="B60:Y60" si="14">AVERAGE(B53,B46,B39,B32,B25,B18,B11,B4)</f>
        <v>22374.375</v>
      </c>
      <c r="C60" s="6">
        <f t="shared" si="14"/>
        <v>14428.8725</v>
      </c>
      <c r="D60" s="6">
        <f t="shared" si="14"/>
        <v>16038.198</v>
      </c>
      <c r="E60" s="6">
        <f t="shared" si="14"/>
        <v>13527.67</v>
      </c>
      <c r="F60" s="6">
        <f t="shared" si="14"/>
        <v>10810.03167</v>
      </c>
      <c r="G60" s="6">
        <f t="shared" si="14"/>
        <v>14472.008</v>
      </c>
      <c r="H60" s="6">
        <f t="shared" si="14"/>
        <v>20600.915</v>
      </c>
      <c r="I60" s="6">
        <f t="shared" si="14"/>
        <v>14129.13167</v>
      </c>
      <c r="J60" s="6">
        <f t="shared" si="14"/>
        <v>10893.582</v>
      </c>
      <c r="K60" s="6">
        <f t="shared" si="14"/>
        <v>10478.64</v>
      </c>
      <c r="L60" s="6">
        <f t="shared" si="14"/>
        <v>7528.564</v>
      </c>
      <c r="M60" s="6">
        <f t="shared" si="14"/>
        <v>5842.406667</v>
      </c>
      <c r="N60" s="6">
        <f t="shared" si="14"/>
        <v>10965.62667</v>
      </c>
      <c r="O60" s="6">
        <f t="shared" si="14"/>
        <v>9192.024</v>
      </c>
      <c r="P60" s="6">
        <f t="shared" si="14"/>
        <v>5427.795</v>
      </c>
      <c r="Q60" s="6">
        <f t="shared" si="14"/>
        <v>10327.15375</v>
      </c>
      <c r="R60" s="6">
        <f t="shared" si="14"/>
        <v>14002.4825</v>
      </c>
      <c r="S60" s="4" t="str">
        <f t="shared" si="14"/>
        <v>#DIV/0!</v>
      </c>
      <c r="T60" s="4" t="str">
        <f t="shared" si="14"/>
        <v>#DIV/0!</v>
      </c>
      <c r="U60" s="4" t="str">
        <f t="shared" si="14"/>
        <v>#DIV/0!</v>
      </c>
      <c r="V60" s="4" t="str">
        <f t="shared" si="14"/>
        <v>#DIV/0!</v>
      </c>
      <c r="W60" s="4" t="str">
        <f t="shared" si="14"/>
        <v>#DIV/0!</v>
      </c>
      <c r="X60" s="4" t="str">
        <f t="shared" si="14"/>
        <v>#DIV/0!</v>
      </c>
      <c r="Y60" s="4" t="str">
        <f t="shared" si="14"/>
        <v>#DIV/0!</v>
      </c>
      <c r="Z60" s="6" t="str">
        <f>average(N60:Y60)</f>
        <v>#DIV/0!</v>
      </c>
    </row>
    <row r="61" ht="15.75" customHeight="1">
      <c r="A61" s="8" t="s">
        <v>5</v>
      </c>
      <c r="B61" s="10">
        <f t="shared" ref="B61:Y61" si="15">AVERAGE(B54,B47,B40,B33,B26,B19,B12,B5)</f>
        <v>0.50445</v>
      </c>
      <c r="C61" s="10">
        <f t="shared" si="15"/>
        <v>0.366525</v>
      </c>
      <c r="D61" s="10">
        <f t="shared" si="15"/>
        <v>0.30455</v>
      </c>
      <c r="E61" s="10">
        <f t="shared" si="15"/>
        <v>0.38494</v>
      </c>
      <c r="F61" s="10">
        <f t="shared" si="15"/>
        <v>0.40984</v>
      </c>
      <c r="G61" s="10">
        <f t="shared" si="15"/>
        <v>0.4393</v>
      </c>
      <c r="H61" s="10">
        <f t="shared" si="15"/>
        <v>0.42082</v>
      </c>
      <c r="I61" s="10">
        <f t="shared" si="15"/>
        <v>0.4131</v>
      </c>
      <c r="J61" s="10">
        <f t="shared" si="15"/>
        <v>0.3999</v>
      </c>
      <c r="K61" s="10">
        <f t="shared" si="15"/>
        <v>0.38592</v>
      </c>
      <c r="L61" s="10">
        <f t="shared" si="15"/>
        <v>0.33754</v>
      </c>
      <c r="M61" s="10">
        <f t="shared" si="15"/>
        <v>0.4501166667</v>
      </c>
      <c r="N61" s="10">
        <f t="shared" si="15"/>
        <v>0.4170333333</v>
      </c>
      <c r="O61" s="10">
        <f t="shared" si="15"/>
        <v>0.3348666667</v>
      </c>
      <c r="P61" s="10">
        <f t="shared" si="15"/>
        <v>0.2642714286</v>
      </c>
      <c r="Q61" s="10">
        <f t="shared" si="15"/>
        <v>0.3270125</v>
      </c>
      <c r="R61" s="10">
        <f t="shared" si="15"/>
        <v>0.2991375</v>
      </c>
      <c r="S61" s="4" t="str">
        <f t="shared" si="15"/>
        <v>#DIV/0!</v>
      </c>
      <c r="T61" s="4" t="str">
        <f t="shared" si="15"/>
        <v>#DIV/0!</v>
      </c>
      <c r="U61" s="4" t="str">
        <f t="shared" si="15"/>
        <v>#DIV/0!</v>
      </c>
      <c r="V61" s="4" t="str">
        <f t="shared" si="15"/>
        <v>#DIV/0!</v>
      </c>
      <c r="W61" s="4" t="str">
        <f t="shared" si="15"/>
        <v>#DIV/0!</v>
      </c>
      <c r="X61" s="4" t="str">
        <f t="shared" si="15"/>
        <v>#DIV/0!</v>
      </c>
      <c r="Y61" s="4" t="str">
        <f t="shared" si="15"/>
        <v>#DIV/0!</v>
      </c>
      <c r="Z61" s="4" t="str">
        <f>average(R61:Y61)</f>
        <v>#DIV/0!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B71" s="1"/>
      <c r="S71" s="10"/>
    </row>
    <row r="72" ht="15.75" customHeight="1">
      <c r="B72" s="1"/>
      <c r="S72" s="10"/>
    </row>
    <row r="73" ht="15.75" customHeight="1">
      <c r="B73" s="1"/>
      <c r="S73" s="10"/>
    </row>
    <row r="74" ht="15.75" customHeight="1">
      <c r="B74" s="1"/>
      <c r="S74" s="10"/>
    </row>
    <row r="75" ht="15.75" customHeight="1">
      <c r="B75" s="1"/>
      <c r="S75" s="10"/>
    </row>
    <row r="76" ht="15.75" customHeight="1">
      <c r="B76" s="1"/>
      <c r="S76" s="10"/>
    </row>
    <row r="77" ht="15.75" customHeight="1">
      <c r="S77" s="10"/>
    </row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>
      <c r="B101" s="4" t="s">
        <v>15</v>
      </c>
      <c r="C101" s="10" t="str">
        <f t="shared" ref="C101:R101" si="16">average(C71:C76)</f>
        <v>#DIV/0!</v>
      </c>
      <c r="D101" s="10" t="str">
        <f t="shared" si="16"/>
        <v>#DIV/0!</v>
      </c>
      <c r="E101" s="10" t="str">
        <f t="shared" si="16"/>
        <v>#DIV/0!</v>
      </c>
      <c r="F101" s="10" t="str">
        <f t="shared" si="16"/>
        <v>#DIV/0!</v>
      </c>
      <c r="G101" s="10" t="str">
        <f t="shared" si="16"/>
        <v>#DIV/0!</v>
      </c>
      <c r="H101" s="10" t="str">
        <f t="shared" si="16"/>
        <v>#DIV/0!</v>
      </c>
      <c r="I101" s="10" t="str">
        <f t="shared" si="16"/>
        <v>#DIV/0!</v>
      </c>
      <c r="J101" s="10" t="str">
        <f t="shared" si="16"/>
        <v>#DIV/0!</v>
      </c>
      <c r="K101" s="10" t="str">
        <f t="shared" si="16"/>
        <v>#DIV/0!</v>
      </c>
      <c r="L101" s="10" t="str">
        <f t="shared" si="16"/>
        <v>#DIV/0!</v>
      </c>
      <c r="M101" s="10" t="str">
        <f t="shared" si="16"/>
        <v>#DIV/0!</v>
      </c>
      <c r="N101" s="10" t="str">
        <f t="shared" si="16"/>
        <v>#DIV/0!</v>
      </c>
      <c r="O101" s="10" t="str">
        <f t="shared" si="16"/>
        <v>#DIV/0!</v>
      </c>
      <c r="P101" s="10" t="str">
        <f t="shared" si="16"/>
        <v>#DIV/0!</v>
      </c>
      <c r="Q101" s="10" t="str">
        <f t="shared" si="16"/>
        <v>#DIV/0!</v>
      </c>
      <c r="R101" s="10" t="str">
        <f t="shared" si="16"/>
        <v>#DIV/0!</v>
      </c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rawing r:id="rId1"/>
</worksheet>
</file>