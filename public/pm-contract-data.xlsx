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<sst xmlns="http://schemas.openxmlformats.org/spreadsheetml/2006/main" count="60" uniqueCount="18">
  <si>
    <t>Jamie Jenkins</t>
  </si>
  <si>
    <t>YTD</t>
  </si>
  <si>
    <t>Contract Total</t>
  </si>
  <si>
    <t>Contracts</t>
  </si>
  <si>
    <t>Average Contract</t>
  </si>
  <si>
    <t>Monthly Closing Rate</t>
  </si>
  <si>
    <t>Rolling 90-Day Closing Rate</t>
  </si>
  <si>
    <t>John Fincher</t>
  </si>
  <si>
    <t>Andrew Painter</t>
  </si>
  <si>
    <t>George Anim</t>
  </si>
  <si>
    <t>William Dye</t>
  </si>
  <si>
    <t>Dani Cole</t>
  </si>
  <si>
    <t>November 205</t>
  </si>
  <si>
    <t>Megan Rice</t>
  </si>
  <si>
    <t>Contract Total Average</t>
  </si>
  <si>
    <t>Monthly Closing Rate Average</t>
  </si>
  <si>
    <t>Rolling 90-Day Closing Rate Average</t>
  </si>
  <si>
    <t>Closing Rate Monthly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</si>
</sst>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yyyy"/>
    <numFmt numFmtId="165" formatCode="&quot;$&quot;#,##0.00"/>
    <numFmt numFmtId="166" formatCode="_(&quot;$&quot;* #,##0.00_);_(&quot;$&quot;* \(#,##0.00\);_(&quot;$&quot;* &quot;-&quot;??_);_(@_)"/>
  </numFmts>
  <fonts count="4">
    <font>
      <sz val="10.0"/>
      <color rgb="FF000000"/>
      <name val="Arial"/>
      <scheme val="minor"/>
    </font>
    <font>
      <sz val="11.0"/>
      <color rgb="FF444444"/>
      <name val="Roboto"/>
    </font>
    <font>
      <color theme="1"/>
      <name val="Arial"/>
    </font>
    <font>
      <sz val="11.0"/>
      <color rgb="FF4D4D4D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DCDCDC"/>
      </bottom>
    </border>
    <border>
      <left style="thin">
        <color rgb="FFDCDCDC"/>
      </left>
      <bottom style="thin">
        <color rgb="FFDCDCDC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0"/>
    </xf>
    <xf borderId="0" fillId="0" fontId="2" numFmtId="164" xfId="0" applyFont="1" applyNumberFormat="1"/>
    <xf borderId="0" fillId="0" fontId="2" numFmtId="0" xfId="0" applyFont="1"/>
    <xf borderId="2" fillId="0" fontId="1" numFmtId="165" xfId="0" applyAlignment="1" applyBorder="1" applyFont="1" applyNumberFormat="1">
      <alignment horizontal="right" shrinkToFit="0" wrapText="0"/>
    </xf>
    <xf borderId="0" fillId="0" fontId="2" numFmtId="166" xfId="0" applyFont="1" applyNumberFormat="1"/>
    <xf borderId="2" fillId="0" fontId="1" numFmtId="0" xfId="0" applyAlignment="1" applyBorder="1" applyFont="1">
      <alignment horizontal="right" shrinkToFit="0" wrapText="0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horizontal="right" vertical="bottom"/>
    </xf>
    <xf borderId="0" fillId="0" fontId="2" numFmtId="10" xfId="0" applyAlignment="1" applyFont="1" applyNumberFormat="1">
      <alignment vertical="bottom"/>
    </xf>
    <xf borderId="0" fillId="0" fontId="2" numFmtId="10" xfId="0" applyAlignment="1" applyFont="1" applyNumberFormat="1">
      <alignment horizontal="right" readingOrder="0" vertical="bottom"/>
    </xf>
    <xf borderId="0" fillId="0" fontId="2" numFmtId="10" xfId="0" applyAlignment="1" applyFont="1" applyNumberFormat="1">
      <alignment readingOrder="0" vertical="bottom"/>
    </xf>
    <xf borderId="0" fillId="0" fontId="2" numFmtId="10" xfId="0" applyFont="1" applyNumberFormat="1"/>
    <xf borderId="0" fillId="0" fontId="2" numFmtId="10" xfId="0" applyAlignment="1" applyFont="1" applyNumberFormat="1">
      <alignment readingOrder="0"/>
    </xf>
    <xf borderId="2" fillId="0" fontId="1" numFmtId="0" xfId="0" applyAlignment="1" applyBorder="1" applyFont="1">
      <alignment shrinkToFit="0" wrapText="0"/>
    </xf>
    <xf borderId="0" fillId="2" fontId="3" numFmtId="0" xfId="0" applyFill="1" applyFont="1"/>
    <xf borderId="2" fillId="0" fontId="1" numFmtId="10" xfId="0" applyAlignment="1" applyBorder="1" applyFont="1" applyNumberFormat="1">
      <alignment shrinkToFit="0" wrapText="0"/>
    </xf>
    <xf borderId="0" fillId="2" fontId="3" numFmtId="10" xfId="0" applyFill="1" applyFont="1" applyNumberFormat="1"/>
    <xf borderId="0" fillId="2" fontId="2" numFmtId="10" xfId="0" applyAlignment="1" applyFill="1" applyFont="1" applyNumberFormat="1">
      <alignment vertical="bottom"/>
    </xf>
    <xf borderId="0" fillId="0" fontId="2" numFmtId="165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28.63"/>
    <col customWidth="1" min="2" max="6" width="12.63"/>
  </cols>
  <sheetData>
    <row r="1" ht="15.75" customHeight="1">
      <c r="A1" s="1" t="s">
        <v>0</v>
      </c>
      <c r="B1" s="2">
        <v>45658.0</v>
      </c>
      <c r="C1" s="2">
        <v>45689.0</v>
      </c>
      <c r="D1" s="2">
        <v>45717.0</v>
      </c>
      <c r="E1" s="2">
        <v>45748.0</v>
      </c>
      <c r="F1" s="2">
        <v>45778.0</v>
      </c>
      <c r="G1" s="2">
        <v>45809.0</v>
      </c>
      <c r="H1" s="2">
        <v>45839.0</v>
      </c>
      <c r="I1" s="2">
        <v>45870.0</v>
      </c>
      <c r="J1" s="2">
        <v>45901.0</v>
      </c>
      <c r="K1" s="2">
        <v>45931.0</v>
      </c>
      <c r="L1" s="2">
        <v>45962.0</v>
      </c>
      <c r="M1" s="2">
        <v>45992.0</v>
      </c>
      <c r="N1" s="2">
        <v>46023.0</v>
      </c>
      <c r="O1" s="2">
        <v>46054.0</v>
      </c>
      <c r="P1" s="2">
        <v>46082.0</v>
      </c>
      <c r="Q1" s="2">
        <v>46113.0</v>
      </c>
      <c r="R1" s="2">
        <v>46143.0</v>
      </c>
      <c r="S1" s="2">
        <v>46174.0</v>
      </c>
      <c r="T1" s="2">
        <v>46204.0</v>
      </c>
      <c r="U1" s="2">
        <v>46235.0</v>
      </c>
      <c r="V1" s="2">
        <v>46266.0</v>
      </c>
      <c r="W1" s="2">
        <v>46296.0</v>
      </c>
      <c r="X1" s="2">
        <v>46327.0</v>
      </c>
      <c r="Y1" s="2">
        <v>46357.0</v>
      </c>
      <c r="Z1" s="3" t="s">
        <v>1</v>
      </c>
    </row>
    <row r="2" ht="15.75" customHeight="1">
      <c r="A2" s="3" t="s">
        <v>2</v>
      </c>
      <c r="B2" s="4">
        <v>33624.74</v>
      </c>
      <c r="C2" s="4">
        <v>49353.38</v>
      </c>
      <c r="D2" s="4">
        <v>150019.57</v>
      </c>
      <c r="E2" s="4">
        <v>35596.98</v>
      </c>
      <c r="F2" s="4">
        <v>121861.65</v>
      </c>
      <c r="G2" s="4">
        <v>217702.66</v>
      </c>
      <c r="H2" s="4">
        <v>80860.65</v>
      </c>
      <c r="I2" s="4">
        <v>56753.76</v>
      </c>
      <c r="J2" s="4">
        <v>97057.61</v>
      </c>
      <c r="K2" s="4">
        <v>117013.22</v>
      </c>
      <c r="L2" s="4">
        <v>39130.08</v>
      </c>
      <c r="M2" s="4">
        <v>24475.43</v>
      </c>
      <c r="P2" s="4">
        <v>50427.08</v>
      </c>
      <c r="Q2" s="4">
        <v>215081.52</v>
      </c>
      <c r="R2" s="4">
        <v>378650.28</v>
      </c>
      <c r="S2" s="4"/>
      <c r="T2" s="4"/>
      <c r="Z2" s="5">
        <f t="shared" ref="Z2:Z3" si="1">sum(N2:Y2)</f>
        <v>644158.88</v>
      </c>
    </row>
    <row r="3" ht="15.75" customHeight="1">
      <c r="A3" s="3" t="s">
        <v>3</v>
      </c>
      <c r="B3" s="6">
        <v>2.0</v>
      </c>
      <c r="C3" s="6">
        <v>2.0</v>
      </c>
      <c r="D3" s="6">
        <v>5.0</v>
      </c>
      <c r="E3" s="6">
        <v>2.0</v>
      </c>
      <c r="F3" s="6">
        <v>9.0</v>
      </c>
      <c r="G3" s="6">
        <v>12.0</v>
      </c>
      <c r="H3" s="6">
        <v>5.0</v>
      </c>
      <c r="I3" s="6">
        <v>4.0</v>
      </c>
      <c r="J3" s="6">
        <v>5.0</v>
      </c>
      <c r="K3" s="6">
        <v>7.0</v>
      </c>
      <c r="L3" s="6">
        <v>7.0</v>
      </c>
      <c r="M3" s="6">
        <v>3.0</v>
      </c>
      <c r="P3" s="6">
        <v>7.0</v>
      </c>
      <c r="Q3" s="6">
        <v>13.0</v>
      </c>
      <c r="R3" s="6">
        <v>24.0</v>
      </c>
      <c r="S3" s="6"/>
      <c r="T3" s="6"/>
      <c r="Z3" s="3">
        <f t="shared" si="1"/>
        <v>44</v>
      </c>
    </row>
    <row r="4" ht="15.75" customHeight="1">
      <c r="A4" s="3" t="s">
        <v>4</v>
      </c>
      <c r="B4" s="4">
        <v>16812.37</v>
      </c>
      <c r="C4" s="4">
        <v>24676.69</v>
      </c>
      <c r="D4" s="4">
        <v>30003.91</v>
      </c>
      <c r="E4" s="4">
        <v>17798.49</v>
      </c>
      <c r="F4" s="4">
        <v>13540.18</v>
      </c>
      <c r="G4" s="4">
        <v>18141.89</v>
      </c>
      <c r="H4" s="4">
        <v>16172.13</v>
      </c>
      <c r="I4" s="4">
        <v>14188.44</v>
      </c>
      <c r="J4" s="4">
        <v>19411.52</v>
      </c>
      <c r="K4" s="4">
        <v>16716.17</v>
      </c>
      <c r="L4" s="4">
        <v>5590.01</v>
      </c>
      <c r="M4" s="4">
        <v>8158.48</v>
      </c>
      <c r="P4" s="4">
        <v>7203.87</v>
      </c>
      <c r="Q4" s="4">
        <v>16544.73</v>
      </c>
      <c r="R4" s="4">
        <v>15777.09</v>
      </c>
      <c r="Z4" s="5">
        <f t="shared" ref="Z4:Z6" si="2">average(N4:Y4)</f>
        <v>13175.23</v>
      </c>
    </row>
    <row r="5" ht="15.75" customHeight="1">
      <c r="A5" s="7" t="s">
        <v>5</v>
      </c>
      <c r="B5" s="8">
        <v>0.3333</v>
      </c>
      <c r="C5" s="8">
        <v>0.3571</v>
      </c>
      <c r="D5" s="8">
        <v>0.3333</v>
      </c>
      <c r="E5" s="8">
        <v>0.375</v>
      </c>
      <c r="F5" s="8">
        <v>0.52</v>
      </c>
      <c r="G5" s="8">
        <v>0.3333</v>
      </c>
      <c r="H5" s="8">
        <v>0.1111</v>
      </c>
      <c r="I5" s="8">
        <v>0.28</v>
      </c>
      <c r="J5" s="8">
        <v>0.2353</v>
      </c>
      <c r="K5" s="8">
        <v>0.24</v>
      </c>
      <c r="L5" s="8">
        <v>0.3333</v>
      </c>
      <c r="M5" s="9"/>
      <c r="N5" s="8">
        <v>0.1818</v>
      </c>
      <c r="O5" s="8">
        <v>0.2308</v>
      </c>
      <c r="P5" s="8">
        <v>0.3529</v>
      </c>
      <c r="Q5" s="8">
        <v>0.4167</v>
      </c>
      <c r="R5" s="8">
        <v>0.1923</v>
      </c>
      <c r="S5" s="10">
        <v>0.1515</v>
      </c>
      <c r="T5" s="11"/>
      <c r="U5" s="9"/>
      <c r="V5" s="9"/>
      <c r="W5" s="9"/>
      <c r="X5" s="9"/>
      <c r="Y5" s="9"/>
      <c r="Z5" s="8">
        <f t="shared" si="2"/>
        <v>0.2543333333</v>
      </c>
    </row>
    <row r="6" ht="15.75" customHeight="1">
      <c r="A6" s="3" t="s">
        <v>6</v>
      </c>
      <c r="B6" s="12">
        <v>0.5714</v>
      </c>
      <c r="C6" s="12">
        <v>0.4167</v>
      </c>
      <c r="D6" s="12">
        <v>0.3182</v>
      </c>
      <c r="E6" s="12">
        <v>0.3333</v>
      </c>
      <c r="F6" s="12">
        <v>0.3429</v>
      </c>
      <c r="G6" s="12">
        <v>0.4348</v>
      </c>
      <c r="H6" s="12">
        <v>0.4468</v>
      </c>
      <c r="I6" s="12">
        <v>0.3462</v>
      </c>
      <c r="J6" s="12">
        <v>0.2456</v>
      </c>
      <c r="K6" s="12">
        <v>0.2203</v>
      </c>
      <c r="L6" s="12">
        <v>0.2537</v>
      </c>
      <c r="M6" s="12">
        <v>0.2593</v>
      </c>
      <c r="N6" s="12">
        <v>0.2368</v>
      </c>
      <c r="O6" s="12">
        <v>0.2308</v>
      </c>
      <c r="P6" s="12">
        <v>0.2</v>
      </c>
      <c r="Q6" s="12">
        <v>0.3393</v>
      </c>
      <c r="R6" s="12">
        <v>0.3426</v>
      </c>
      <c r="S6" s="12">
        <v>0.2745</v>
      </c>
      <c r="T6" s="13">
        <v>0.127</v>
      </c>
      <c r="U6" s="13">
        <v>0.2143</v>
      </c>
      <c r="V6" s="13">
        <v>0.2</v>
      </c>
      <c r="W6" s="12"/>
      <c r="X6" s="12"/>
      <c r="Y6" s="12"/>
      <c r="Z6" s="12">
        <f t="shared" si="2"/>
        <v>0.2405888889</v>
      </c>
    </row>
    <row r="7" ht="15.75" customHeight="1"/>
    <row r="8" ht="15.75" customHeight="1"/>
    <row r="9" ht="15.75" customHeight="1">
      <c r="A9" s="1" t="s">
        <v>7</v>
      </c>
      <c r="B9" s="2">
        <v>45658.0</v>
      </c>
      <c r="C9" s="2">
        <v>45689.0</v>
      </c>
      <c r="D9" s="2">
        <v>45717.0</v>
      </c>
      <c r="E9" s="2">
        <v>45748.0</v>
      </c>
      <c r="F9" s="2">
        <v>45778.0</v>
      </c>
      <c r="G9" s="2">
        <v>45809.0</v>
      </c>
      <c r="H9" s="2">
        <v>45839.0</v>
      </c>
      <c r="I9" s="2">
        <v>45870.0</v>
      </c>
      <c r="J9" s="2">
        <v>45901.0</v>
      </c>
      <c r="K9" s="2">
        <v>45931.0</v>
      </c>
      <c r="L9" s="2">
        <v>45962.0</v>
      </c>
      <c r="M9" s="2">
        <v>45992.0</v>
      </c>
      <c r="N9" s="2">
        <v>46023.0</v>
      </c>
      <c r="O9" s="2">
        <v>46054.0</v>
      </c>
      <c r="P9" s="2">
        <v>46082.0</v>
      </c>
      <c r="Q9" s="2">
        <v>46113.0</v>
      </c>
      <c r="R9" s="2">
        <v>46143.0</v>
      </c>
      <c r="S9" s="2">
        <v>46174.0</v>
      </c>
      <c r="T9" s="2">
        <v>46204.0</v>
      </c>
      <c r="U9" s="2">
        <v>46235.0</v>
      </c>
      <c r="V9" s="2">
        <v>46266.0</v>
      </c>
      <c r="W9" s="2">
        <v>46296.0</v>
      </c>
      <c r="X9" s="2">
        <v>46327.0</v>
      </c>
      <c r="Y9" s="2">
        <v>46357.0</v>
      </c>
      <c r="Z9" s="3" t="s">
        <v>1</v>
      </c>
    </row>
    <row r="10" ht="15.75" customHeight="1">
      <c r="A10" s="3" t="s">
        <v>2</v>
      </c>
      <c r="C10" s="4">
        <v>26439.71</v>
      </c>
      <c r="D10" s="4">
        <v>51542.87</v>
      </c>
      <c r="E10" s="4">
        <v>75885.54</v>
      </c>
      <c r="F10" s="4">
        <v>103291.98</v>
      </c>
      <c r="G10" s="4">
        <v>153828.56</v>
      </c>
      <c r="H10" s="4">
        <v>142652.92</v>
      </c>
      <c r="I10" s="4">
        <v>63419.5</v>
      </c>
      <c r="J10" s="4">
        <v>131500.17</v>
      </c>
      <c r="K10" s="4">
        <v>131200.28</v>
      </c>
      <c r="L10" s="4">
        <v>28825.49</v>
      </c>
      <c r="M10" s="4">
        <v>10448.87</v>
      </c>
      <c r="N10" s="4">
        <v>90672.39</v>
      </c>
      <c r="O10" s="4">
        <v>34294.16</v>
      </c>
      <c r="P10" s="4">
        <v>65730.26</v>
      </c>
      <c r="Q10" s="4">
        <v>349069.93</v>
      </c>
      <c r="R10" s="4">
        <v>118400.53</v>
      </c>
      <c r="S10" s="4"/>
      <c r="W10" s="14"/>
      <c r="Z10" s="5">
        <f t="shared" ref="Z10:Z11" si="3">sum(N10:Y10)</f>
        <v>658167.27</v>
      </c>
    </row>
    <row r="11" ht="15.75" customHeight="1">
      <c r="A11" s="3" t="s">
        <v>3</v>
      </c>
      <c r="C11" s="6">
        <v>2.0</v>
      </c>
      <c r="D11" s="6">
        <v>5.0</v>
      </c>
      <c r="E11" s="6">
        <v>10.0</v>
      </c>
      <c r="F11" s="6">
        <v>11.0</v>
      </c>
      <c r="G11" s="6">
        <v>20.0</v>
      </c>
      <c r="H11" s="6">
        <v>8.0</v>
      </c>
      <c r="I11" s="6">
        <v>8.0</v>
      </c>
      <c r="J11" s="6">
        <v>8.0</v>
      </c>
      <c r="K11" s="6">
        <v>15.0</v>
      </c>
      <c r="L11" s="6">
        <v>9.0</v>
      </c>
      <c r="M11" s="6">
        <v>3.0</v>
      </c>
      <c r="N11" s="6">
        <v>6.0</v>
      </c>
      <c r="O11" s="6">
        <v>11.0</v>
      </c>
      <c r="P11" s="6">
        <v>10.0</v>
      </c>
      <c r="Q11" s="6">
        <v>30.0</v>
      </c>
      <c r="R11" s="6">
        <v>9.0</v>
      </c>
      <c r="S11" s="6"/>
      <c r="W11" s="14"/>
      <c r="Z11" s="3">
        <f t="shared" si="3"/>
        <v>66</v>
      </c>
    </row>
    <row r="12" ht="15.75" customHeight="1">
      <c r="A12" s="3" t="s">
        <v>4</v>
      </c>
      <c r="C12" s="4">
        <v>13219.86</v>
      </c>
      <c r="D12" s="4">
        <v>10308.57</v>
      </c>
      <c r="E12" s="4">
        <v>7588.55</v>
      </c>
      <c r="F12" s="4">
        <v>9390.18</v>
      </c>
      <c r="G12" s="4">
        <v>7691.43</v>
      </c>
      <c r="H12" s="4">
        <v>17831.62</v>
      </c>
      <c r="I12" s="4">
        <v>7927.44</v>
      </c>
      <c r="J12" s="4">
        <v>16437.52</v>
      </c>
      <c r="K12" s="4">
        <v>8746.69</v>
      </c>
      <c r="L12" s="4">
        <v>3202.83</v>
      </c>
      <c r="M12" s="4">
        <v>3482.96</v>
      </c>
      <c r="N12" s="4">
        <v>15112.07</v>
      </c>
      <c r="O12" s="4">
        <v>3117.65</v>
      </c>
      <c r="P12" s="4">
        <v>6573.03</v>
      </c>
      <c r="Q12" s="4">
        <v>11635.66</v>
      </c>
      <c r="R12" s="4">
        <v>13155.61</v>
      </c>
      <c r="W12" s="14"/>
      <c r="Z12" s="5">
        <f>average(N12:Y12)</f>
        <v>9918.804</v>
      </c>
    </row>
    <row r="13" ht="15.75" customHeight="1">
      <c r="A13" s="7" t="s">
        <v>5</v>
      </c>
      <c r="B13" s="8">
        <v>0.5</v>
      </c>
      <c r="C13" s="8">
        <v>0.2381</v>
      </c>
      <c r="D13" s="8">
        <v>0.375</v>
      </c>
      <c r="E13" s="8">
        <v>0.4231</v>
      </c>
      <c r="F13" s="8">
        <v>0.4333</v>
      </c>
      <c r="G13" s="8">
        <v>0.4231</v>
      </c>
      <c r="H13" s="8">
        <v>0.25</v>
      </c>
      <c r="I13" s="8">
        <v>0.2632</v>
      </c>
      <c r="J13" s="8">
        <v>0.4211</v>
      </c>
      <c r="K13" s="8">
        <v>0.2973</v>
      </c>
      <c r="L13" s="8">
        <v>0.2727</v>
      </c>
      <c r="M13" s="8">
        <v>0.6429</v>
      </c>
      <c r="N13" s="8">
        <v>0.5385</v>
      </c>
      <c r="O13" s="8">
        <v>0.2759</v>
      </c>
      <c r="P13" s="8">
        <v>0.3429</v>
      </c>
      <c r="Q13" s="8">
        <v>0.3333</v>
      </c>
      <c r="R13" s="8">
        <v>0.0513</v>
      </c>
      <c r="S13" s="13">
        <v>0.16</v>
      </c>
      <c r="T13" s="15"/>
      <c r="W13" s="16"/>
      <c r="X13" s="12"/>
      <c r="Y13" s="12"/>
      <c r="Z13" s="12"/>
    </row>
    <row r="14" ht="15.75" customHeight="1">
      <c r="A14" s="3" t="s">
        <v>6</v>
      </c>
      <c r="B14" s="12"/>
      <c r="C14" s="12">
        <v>0.5161</v>
      </c>
      <c r="D14" s="12">
        <v>0.3333</v>
      </c>
      <c r="E14" s="12">
        <v>0.34</v>
      </c>
      <c r="F14" s="12">
        <v>0.3521</v>
      </c>
      <c r="G14" s="12">
        <v>0.4125</v>
      </c>
      <c r="H14" s="12">
        <v>0.4321</v>
      </c>
      <c r="I14" s="12">
        <v>0.369</v>
      </c>
      <c r="J14" s="12">
        <v>0.3194</v>
      </c>
      <c r="K14" s="12">
        <v>0.2969</v>
      </c>
      <c r="L14" s="12">
        <v>0.32</v>
      </c>
      <c r="M14" s="12">
        <v>0.3205</v>
      </c>
      <c r="N14" s="12">
        <v>0.3571</v>
      </c>
      <c r="O14" s="12">
        <v>0.449</v>
      </c>
      <c r="P14" s="12">
        <v>0.4182</v>
      </c>
      <c r="Q14" s="12">
        <v>0.3269</v>
      </c>
      <c r="R14" s="12">
        <v>0.2711</v>
      </c>
      <c r="S14" s="12">
        <v>0.2339</v>
      </c>
      <c r="T14" s="13">
        <v>0.0787</v>
      </c>
      <c r="U14" s="13">
        <v>0.0465</v>
      </c>
      <c r="V14" s="13">
        <v>0.0723</v>
      </c>
      <c r="W14" s="12"/>
      <c r="X14" s="12"/>
      <c r="Y14" s="12"/>
      <c r="Z14" s="12">
        <f>average(R14:Y14)</f>
        <v>0.1405</v>
      </c>
    </row>
    <row r="15" ht="15.75" customHeight="1">
      <c r="S15" s="12"/>
      <c r="T15" s="17"/>
      <c r="U15" s="12"/>
      <c r="V15" s="12"/>
      <c r="W15" s="12"/>
      <c r="X15" s="12"/>
      <c r="Y15" s="12"/>
      <c r="Z15" s="12"/>
    </row>
    <row r="16" ht="15.75" customHeight="1">
      <c r="S16" s="12"/>
      <c r="T16" s="12"/>
      <c r="U16" s="12"/>
      <c r="V16" s="12"/>
      <c r="W16" s="12"/>
      <c r="X16" s="12"/>
      <c r="Y16" s="12"/>
      <c r="Z16" s="12"/>
    </row>
    <row r="17" ht="15.75" customHeight="1">
      <c r="A17" s="1" t="s">
        <v>8</v>
      </c>
      <c r="B17" s="2">
        <v>45658.0</v>
      </c>
      <c r="C17" s="2">
        <v>45689.0</v>
      </c>
      <c r="D17" s="2">
        <v>45717.0</v>
      </c>
      <c r="E17" s="2">
        <v>45748.0</v>
      </c>
      <c r="F17" s="2">
        <v>45778.0</v>
      </c>
      <c r="G17" s="2">
        <v>45809.0</v>
      </c>
      <c r="H17" s="2">
        <v>45839.0</v>
      </c>
      <c r="I17" s="2">
        <v>45870.0</v>
      </c>
      <c r="J17" s="2">
        <v>45901.0</v>
      </c>
      <c r="K17" s="2">
        <v>45931.0</v>
      </c>
      <c r="L17" s="2">
        <v>45962.0</v>
      </c>
      <c r="M17" s="2">
        <v>45992.0</v>
      </c>
      <c r="N17" s="2">
        <v>46023.0</v>
      </c>
      <c r="O17" s="2">
        <v>46054.0</v>
      </c>
      <c r="P17" s="2">
        <v>46082.0</v>
      </c>
      <c r="Q17" s="2">
        <v>46113.0</v>
      </c>
      <c r="R17" s="2">
        <v>46143.0</v>
      </c>
      <c r="S17" s="2">
        <v>46174.0</v>
      </c>
      <c r="T17" s="2">
        <v>46204.0</v>
      </c>
      <c r="U17" s="2">
        <v>46235.0</v>
      </c>
      <c r="V17" s="2">
        <v>46266.0</v>
      </c>
      <c r="W17" s="2">
        <v>46296.0</v>
      </c>
      <c r="X17" s="2">
        <v>46327.0</v>
      </c>
      <c r="Y17" s="2">
        <v>46357.0</v>
      </c>
      <c r="Z17" s="3" t="s">
        <v>1</v>
      </c>
    </row>
    <row r="18" ht="15.75" customHeight="1">
      <c r="A18" s="3" t="s">
        <v>2</v>
      </c>
      <c r="E18" s="4">
        <v>31222.74</v>
      </c>
      <c r="F18" s="4">
        <v>1972.5</v>
      </c>
      <c r="G18" s="4">
        <v>165667.1</v>
      </c>
      <c r="H18" s="4">
        <v>200911.27</v>
      </c>
      <c r="I18" s="4">
        <v>46590.51</v>
      </c>
      <c r="J18" s="4">
        <v>13253.11</v>
      </c>
      <c r="K18" s="4">
        <v>182255.48</v>
      </c>
      <c r="L18" s="4">
        <v>128036.34</v>
      </c>
      <c r="M18" s="4">
        <v>64847.69</v>
      </c>
      <c r="N18" s="4">
        <v>65950.63</v>
      </c>
      <c r="O18" s="4">
        <v>14994.71</v>
      </c>
      <c r="P18" s="4">
        <v>76787.72</v>
      </c>
      <c r="Q18" s="4">
        <v>262251.4</v>
      </c>
      <c r="R18" s="4">
        <v>147003.47</v>
      </c>
      <c r="S18" s="4"/>
      <c r="T18" s="4"/>
      <c r="Z18" s="5">
        <f t="shared" ref="Z18:Z19" si="4">sum(N18:Y18)</f>
        <v>566987.93</v>
      </c>
    </row>
    <row r="19" ht="15.75" customHeight="1">
      <c r="A19" s="3" t="s">
        <v>3</v>
      </c>
      <c r="E19" s="6">
        <v>1.0</v>
      </c>
      <c r="F19" s="6">
        <v>1.0</v>
      </c>
      <c r="G19" s="6">
        <v>7.0</v>
      </c>
      <c r="H19" s="6">
        <v>5.0</v>
      </c>
      <c r="I19" s="6">
        <v>8.0</v>
      </c>
      <c r="J19" s="6">
        <v>6.0</v>
      </c>
      <c r="K19" s="6">
        <v>16.0</v>
      </c>
      <c r="L19" s="6">
        <v>8.0</v>
      </c>
      <c r="M19" s="6">
        <v>4.0</v>
      </c>
      <c r="N19" s="6">
        <v>4.0</v>
      </c>
      <c r="O19" s="6">
        <v>1.0</v>
      </c>
      <c r="P19" s="6">
        <v>7.0</v>
      </c>
      <c r="Q19" s="6">
        <v>22.0</v>
      </c>
      <c r="R19" s="6">
        <v>7.0</v>
      </c>
      <c r="S19" s="6"/>
      <c r="Z19" s="3">
        <f t="shared" si="4"/>
        <v>41</v>
      </c>
    </row>
    <row r="20" ht="15.75" customHeight="1">
      <c r="A20" s="3" t="s">
        <v>4</v>
      </c>
      <c r="E20" s="4">
        <v>31222.74</v>
      </c>
      <c r="F20" s="4">
        <v>1972.5</v>
      </c>
      <c r="G20" s="4">
        <v>23666.73</v>
      </c>
      <c r="H20" s="4">
        <v>40182.25</v>
      </c>
      <c r="I20" s="4">
        <v>5823.81</v>
      </c>
      <c r="J20" s="4">
        <v>2208.85</v>
      </c>
      <c r="K20" s="4">
        <v>11390.97</v>
      </c>
      <c r="L20" s="4">
        <v>16004.54</v>
      </c>
      <c r="M20" s="4">
        <v>16211.92</v>
      </c>
      <c r="N20" s="4">
        <v>16487.66</v>
      </c>
      <c r="O20" s="4">
        <v>14994.71</v>
      </c>
      <c r="P20" s="4">
        <v>10969.67</v>
      </c>
      <c r="Q20" s="4">
        <v>11920.52</v>
      </c>
      <c r="R20" s="4">
        <v>21000.5</v>
      </c>
      <c r="Z20" s="5">
        <f>average(N20:Y20)</f>
        <v>15074.612</v>
      </c>
    </row>
    <row r="21" ht="15.75" customHeight="1">
      <c r="A21" s="7" t="s">
        <v>5</v>
      </c>
      <c r="B21" s="9"/>
      <c r="C21" s="9"/>
      <c r="D21" s="9"/>
      <c r="E21" s="8">
        <v>0.6667</v>
      </c>
      <c r="F21" s="8">
        <v>0.4286</v>
      </c>
      <c r="G21" s="8">
        <v>0.4286</v>
      </c>
      <c r="H21" s="8">
        <v>0.5</v>
      </c>
      <c r="I21" s="8">
        <v>0.5333</v>
      </c>
      <c r="J21" s="8">
        <v>0.381</v>
      </c>
      <c r="K21" s="8">
        <v>0.2963</v>
      </c>
      <c r="L21" s="8">
        <v>0.3571</v>
      </c>
      <c r="M21" s="8">
        <v>0.33</v>
      </c>
      <c r="N21" s="8">
        <v>0.2308</v>
      </c>
      <c r="O21" s="8">
        <v>0.1613</v>
      </c>
      <c r="P21" s="8">
        <v>0.3673</v>
      </c>
      <c r="Q21" s="8">
        <v>0.22</v>
      </c>
      <c r="R21" s="12"/>
      <c r="S21" s="13">
        <v>0.1</v>
      </c>
      <c r="T21" s="12"/>
      <c r="U21" s="12"/>
      <c r="V21" s="12"/>
      <c r="W21" s="12"/>
      <c r="X21" s="12"/>
      <c r="Y21" s="12"/>
      <c r="Z21" s="3"/>
    </row>
    <row r="22" ht="15.75" customHeight="1">
      <c r="A22" s="3" t="s">
        <v>6</v>
      </c>
      <c r="B22" s="12"/>
      <c r="C22" s="12"/>
      <c r="D22" s="12"/>
      <c r="E22" s="12">
        <v>0.5</v>
      </c>
      <c r="F22" s="12">
        <v>0.5625</v>
      </c>
      <c r="G22" s="12">
        <v>0.5714</v>
      </c>
      <c r="H22" s="12">
        <v>0.4815</v>
      </c>
      <c r="I22" s="12">
        <v>0.4634</v>
      </c>
      <c r="J22" s="12">
        <v>0.4898</v>
      </c>
      <c r="K22" s="12">
        <v>0.463</v>
      </c>
      <c r="L22" s="12">
        <v>0.377</v>
      </c>
      <c r="M22" s="12">
        <v>0.3387</v>
      </c>
      <c r="N22" s="12">
        <v>0.3265</v>
      </c>
      <c r="O22" s="12">
        <v>0.3056</v>
      </c>
      <c r="P22" s="12">
        <v>0.2075</v>
      </c>
      <c r="Q22" s="12">
        <v>0.2615</v>
      </c>
      <c r="R22" s="12">
        <v>0.232</v>
      </c>
      <c r="S22" s="12">
        <v>0.1443</v>
      </c>
      <c r="T22" s="13">
        <v>0.1029</v>
      </c>
      <c r="U22" s="13">
        <v>0.087</v>
      </c>
      <c r="V22" s="13">
        <v>0.0694</v>
      </c>
      <c r="W22" s="12"/>
      <c r="X22" s="12"/>
      <c r="Y22" s="12"/>
      <c r="Z22" s="12">
        <f>average(R22:Y22)</f>
        <v>0.12712</v>
      </c>
    </row>
    <row r="23" ht="15.75" customHeight="1"/>
    <row r="24" ht="15.75" customHeight="1"/>
    <row r="25" ht="15.75" customHeight="1">
      <c r="A25" s="1" t="s">
        <v>9</v>
      </c>
      <c r="B25" s="2">
        <v>45658.0</v>
      </c>
      <c r="C25" s="2">
        <v>45689.0</v>
      </c>
      <c r="D25" s="2">
        <v>45717.0</v>
      </c>
      <c r="E25" s="2">
        <v>45748.0</v>
      </c>
      <c r="F25" s="2">
        <v>45778.0</v>
      </c>
      <c r="G25" s="2">
        <v>45809.0</v>
      </c>
      <c r="H25" s="2">
        <v>45839.0</v>
      </c>
      <c r="I25" s="2">
        <v>45870.0</v>
      </c>
      <c r="J25" s="2">
        <v>45901.0</v>
      </c>
      <c r="K25" s="2">
        <v>45931.0</v>
      </c>
      <c r="L25" s="2">
        <v>45962.0</v>
      </c>
      <c r="M25" s="2">
        <v>45992.0</v>
      </c>
      <c r="N25" s="2">
        <v>46023.0</v>
      </c>
      <c r="O25" s="2">
        <v>46054.0</v>
      </c>
      <c r="P25" s="2">
        <v>46082.0</v>
      </c>
      <c r="Q25" s="2">
        <v>46113.0</v>
      </c>
      <c r="R25" s="2">
        <v>46143.0</v>
      </c>
      <c r="S25" s="2">
        <v>46174.0</v>
      </c>
      <c r="T25" s="2">
        <v>46204.0</v>
      </c>
      <c r="U25" s="2">
        <v>46235.0</v>
      </c>
      <c r="V25" s="2">
        <v>46266.0</v>
      </c>
      <c r="W25" s="2">
        <v>46296.0</v>
      </c>
      <c r="X25" s="2">
        <v>46327.0</v>
      </c>
      <c r="Y25" s="2">
        <v>46357.0</v>
      </c>
      <c r="Z25" s="3" t="s">
        <v>1</v>
      </c>
    </row>
    <row r="26" ht="15.75" customHeight="1">
      <c r="A26" s="3" t="s">
        <v>2</v>
      </c>
      <c r="C26" s="4">
        <v>18650.58</v>
      </c>
      <c r="D26" s="4">
        <v>30930.58</v>
      </c>
      <c r="E26" s="4">
        <v>10220.61</v>
      </c>
      <c r="F26" s="4">
        <v>40940.34</v>
      </c>
      <c r="G26" s="4">
        <v>31725.85</v>
      </c>
      <c r="H26" s="4">
        <v>59653.44</v>
      </c>
      <c r="I26" s="4">
        <v>52341.19</v>
      </c>
      <c r="J26" s="4">
        <v>43968.35</v>
      </c>
      <c r="K26" s="4">
        <v>55035.51</v>
      </c>
      <c r="L26" s="4">
        <v>30872.18</v>
      </c>
      <c r="M26" s="4">
        <v>5421.62</v>
      </c>
      <c r="N26" s="4">
        <v>9080.08</v>
      </c>
      <c r="O26" s="4">
        <v>5713.65</v>
      </c>
      <c r="P26" s="4">
        <v>55012.85</v>
      </c>
      <c r="Q26" s="4">
        <v>13845.3</v>
      </c>
      <c r="R26" s="4">
        <v>88880.21</v>
      </c>
      <c r="S26" s="4"/>
      <c r="T26" s="4"/>
      <c r="Z26" s="5">
        <f t="shared" ref="Z26:Z27" si="5">sum(N26:Y26)</f>
        <v>172532.09</v>
      </c>
    </row>
    <row r="27" ht="15.75" customHeight="1">
      <c r="A27" s="3" t="s">
        <v>3</v>
      </c>
      <c r="C27" s="6">
        <v>1.0</v>
      </c>
      <c r="D27" s="6">
        <v>5.0</v>
      </c>
      <c r="E27" s="6">
        <v>2.0</v>
      </c>
      <c r="F27" s="6">
        <v>3.0</v>
      </c>
      <c r="G27" s="6">
        <v>13.0</v>
      </c>
      <c r="H27" s="6">
        <v>13.0</v>
      </c>
      <c r="I27" s="6">
        <v>10.0</v>
      </c>
      <c r="J27" s="6">
        <v>13.0</v>
      </c>
      <c r="K27" s="6">
        <v>16.0</v>
      </c>
      <c r="L27" s="6">
        <v>6.0</v>
      </c>
      <c r="M27" s="6">
        <v>2.0</v>
      </c>
      <c r="N27" s="6">
        <v>7.0</v>
      </c>
      <c r="O27" s="6">
        <v>2.0</v>
      </c>
      <c r="P27" s="6">
        <v>14.0</v>
      </c>
      <c r="Q27" s="6">
        <v>12.0</v>
      </c>
      <c r="R27" s="6">
        <v>10.0</v>
      </c>
      <c r="S27" s="6"/>
      <c r="W27" s="14"/>
      <c r="Z27" s="3">
        <f t="shared" si="5"/>
        <v>45</v>
      </c>
    </row>
    <row r="28" ht="15.75" customHeight="1">
      <c r="A28" s="3" t="s">
        <v>4</v>
      </c>
      <c r="C28" s="4">
        <v>18650.58</v>
      </c>
      <c r="D28" s="4">
        <v>6186.12</v>
      </c>
      <c r="E28" s="4">
        <v>5110.3</v>
      </c>
      <c r="F28" s="4">
        <v>13646.78</v>
      </c>
      <c r="G28" s="4">
        <v>2440.45</v>
      </c>
      <c r="H28" s="4">
        <v>4588.73</v>
      </c>
      <c r="I28" s="4">
        <v>5234.12</v>
      </c>
      <c r="J28" s="4">
        <v>3382.18</v>
      </c>
      <c r="K28" s="4">
        <v>3439.72</v>
      </c>
      <c r="L28" s="4">
        <v>5145.36</v>
      </c>
      <c r="M28" s="4">
        <v>2710.81</v>
      </c>
      <c r="N28" s="4">
        <v>1297.15</v>
      </c>
      <c r="O28" s="4">
        <v>2856.82</v>
      </c>
      <c r="P28" s="4">
        <v>3929.49</v>
      </c>
      <c r="Q28" s="4">
        <v>1153.77</v>
      </c>
      <c r="R28" s="4">
        <v>8888.02</v>
      </c>
      <c r="T28" s="15"/>
      <c r="W28" s="14"/>
      <c r="Z28" s="5">
        <f>average(N28:Y28)</f>
        <v>3625.05</v>
      </c>
    </row>
    <row r="29" ht="15.75" customHeight="1">
      <c r="A29" s="7" t="s">
        <v>5</v>
      </c>
      <c r="B29" s="9"/>
      <c r="C29" s="8">
        <v>0.2143</v>
      </c>
      <c r="D29" s="8">
        <v>0.5556</v>
      </c>
      <c r="E29" s="8">
        <v>0.25</v>
      </c>
      <c r="F29" s="8">
        <v>0.2632</v>
      </c>
      <c r="G29" s="8">
        <v>0.3714</v>
      </c>
      <c r="H29" s="8">
        <v>0.6667</v>
      </c>
      <c r="I29" s="8">
        <v>0.2222</v>
      </c>
      <c r="J29" s="8">
        <v>0.4</v>
      </c>
      <c r="K29" s="8">
        <v>0.3636</v>
      </c>
      <c r="L29" s="8">
        <v>0.1852</v>
      </c>
      <c r="M29" s="8">
        <v>0.1333</v>
      </c>
      <c r="N29" s="8">
        <v>0.2381</v>
      </c>
      <c r="O29" s="8">
        <v>0.2308</v>
      </c>
      <c r="P29" s="8">
        <v>0.4</v>
      </c>
      <c r="Q29" s="8">
        <v>0.2759</v>
      </c>
      <c r="R29" s="12"/>
      <c r="S29" s="13">
        <v>0.1111</v>
      </c>
      <c r="T29" s="17"/>
      <c r="U29" s="12"/>
      <c r="V29" s="12"/>
      <c r="W29" s="12"/>
      <c r="X29" s="12"/>
      <c r="Y29" s="12"/>
      <c r="Z29" s="3"/>
    </row>
    <row r="30" ht="15.75" customHeight="1">
      <c r="A30" s="3" t="s">
        <v>6</v>
      </c>
      <c r="B30" s="12"/>
      <c r="C30" s="12">
        <v>0.1333</v>
      </c>
      <c r="D30" s="12">
        <v>0.1667</v>
      </c>
      <c r="E30" s="12">
        <v>0.3514</v>
      </c>
      <c r="F30" s="12">
        <v>0.375</v>
      </c>
      <c r="G30" s="12">
        <v>0.3778</v>
      </c>
      <c r="H30" s="12">
        <v>0.3226</v>
      </c>
      <c r="I30" s="12">
        <v>0.4359</v>
      </c>
      <c r="J30" s="12">
        <v>0.4286</v>
      </c>
      <c r="K30" s="12">
        <v>0.4366</v>
      </c>
      <c r="L30" s="12">
        <v>0.3457</v>
      </c>
      <c r="M30" s="12">
        <v>0.3222</v>
      </c>
      <c r="N30" s="12">
        <v>0.2568</v>
      </c>
      <c r="O30" s="12">
        <v>0.1905</v>
      </c>
      <c r="P30" s="12">
        <v>0.2281</v>
      </c>
      <c r="Q30" s="12">
        <v>0.3243</v>
      </c>
      <c r="R30" s="12">
        <v>0.3297</v>
      </c>
      <c r="S30" s="12">
        <v>0.2308</v>
      </c>
      <c r="T30" s="13">
        <v>0.0784</v>
      </c>
      <c r="U30" s="13">
        <v>0.1613</v>
      </c>
      <c r="V30" s="13">
        <v>0.1884</v>
      </c>
      <c r="W30" s="12"/>
      <c r="X30" s="12"/>
      <c r="Y30" s="12"/>
      <c r="Z30" s="12">
        <f>average(R30:Y30)</f>
        <v>0.19772</v>
      </c>
    </row>
    <row r="31" ht="15.75" customHeight="1"/>
    <row r="32" ht="15.75" customHeight="1"/>
    <row r="33" ht="15.75" customHeight="1">
      <c r="A33" s="1" t="s">
        <v>10</v>
      </c>
      <c r="B33" s="2">
        <v>45658.0</v>
      </c>
      <c r="C33" s="2">
        <v>45689.0</v>
      </c>
      <c r="D33" s="2">
        <v>45717.0</v>
      </c>
      <c r="E33" s="2">
        <v>45748.0</v>
      </c>
      <c r="F33" s="2">
        <v>45778.0</v>
      </c>
      <c r="G33" s="2">
        <v>45809.0</v>
      </c>
      <c r="H33" s="2">
        <v>45839.0</v>
      </c>
      <c r="I33" s="2">
        <v>45870.0</v>
      </c>
      <c r="J33" s="2">
        <v>45901.0</v>
      </c>
      <c r="K33" s="2">
        <v>45931.0</v>
      </c>
      <c r="L33" s="2">
        <v>45962.0</v>
      </c>
      <c r="M33" s="2">
        <v>45992.0</v>
      </c>
      <c r="N33" s="2">
        <v>46023.0</v>
      </c>
      <c r="O33" s="2">
        <v>46054.0</v>
      </c>
      <c r="P33" s="2">
        <v>46082.0</v>
      </c>
      <c r="Q33" s="2">
        <v>46113.0</v>
      </c>
      <c r="R33" s="2">
        <v>46143.0</v>
      </c>
      <c r="S33" s="2">
        <v>46174.0</v>
      </c>
      <c r="T33" s="2">
        <v>46204.0</v>
      </c>
      <c r="U33" s="2">
        <v>46235.0</v>
      </c>
      <c r="V33" s="2">
        <v>46266.0</v>
      </c>
      <c r="W33" s="2">
        <v>46296.0</v>
      </c>
      <c r="X33" s="2">
        <v>46327.0</v>
      </c>
      <c r="Y33" s="2">
        <v>46357.0</v>
      </c>
      <c r="Z33" s="3" t="s">
        <v>1</v>
      </c>
    </row>
    <row r="34" ht="15.75" customHeight="1">
      <c r="A34" s="3" t="s">
        <v>2</v>
      </c>
      <c r="B34" s="4">
        <v>55872.76</v>
      </c>
      <c r="C34" s="4">
        <v>2336.73</v>
      </c>
      <c r="D34" s="4">
        <v>33592.39</v>
      </c>
      <c r="E34" s="4">
        <v>21413.67</v>
      </c>
      <c r="F34" s="4">
        <v>186331.34</v>
      </c>
      <c r="G34" s="4">
        <v>163356.3</v>
      </c>
      <c r="H34" s="4">
        <v>93899.31</v>
      </c>
      <c r="I34" s="4">
        <v>95663.96</v>
      </c>
      <c r="J34" s="4">
        <v>52111.35</v>
      </c>
      <c r="K34" s="4">
        <v>205694.01</v>
      </c>
      <c r="L34" s="4">
        <v>38500.4</v>
      </c>
      <c r="M34" s="4">
        <v>14861.34</v>
      </c>
      <c r="N34" s="14"/>
      <c r="O34" s="4">
        <v>8067.86</v>
      </c>
      <c r="P34" s="4">
        <v>108802.59</v>
      </c>
      <c r="Q34" s="4">
        <v>149911.53</v>
      </c>
      <c r="R34" s="4">
        <v>158044.97</v>
      </c>
      <c r="S34" s="4"/>
      <c r="T34" s="4"/>
      <c r="Z34" s="5">
        <f t="shared" ref="Z34:Z35" si="6">sum(N34:Y34)</f>
        <v>424826.95</v>
      </c>
    </row>
    <row r="35" ht="15.75" customHeight="1">
      <c r="A35" s="3" t="s">
        <v>3</v>
      </c>
      <c r="B35" s="6">
        <v>2.0</v>
      </c>
      <c r="C35" s="6">
        <v>2.0</v>
      </c>
      <c r="D35" s="6">
        <v>1.0</v>
      </c>
      <c r="E35" s="6">
        <v>8.0</v>
      </c>
      <c r="F35" s="6">
        <v>13.0</v>
      </c>
      <c r="G35" s="6">
        <v>8.0</v>
      </c>
      <c r="H35" s="6">
        <v>10.0</v>
      </c>
      <c r="I35" s="6">
        <v>2.0</v>
      </c>
      <c r="J35" s="6">
        <v>4.0</v>
      </c>
      <c r="K35" s="6">
        <v>17.0</v>
      </c>
      <c r="L35" s="6">
        <v>5.0</v>
      </c>
      <c r="M35" s="6">
        <v>8.0</v>
      </c>
      <c r="O35" s="6">
        <v>1.0</v>
      </c>
      <c r="P35" s="6">
        <v>9.0</v>
      </c>
      <c r="Q35" s="6">
        <v>16.0</v>
      </c>
      <c r="R35" s="6">
        <v>9.0</v>
      </c>
      <c r="S35" s="6"/>
      <c r="T35" s="6"/>
      <c r="Z35" s="3">
        <f t="shared" si="6"/>
        <v>35</v>
      </c>
    </row>
    <row r="36" ht="15.75" customHeight="1">
      <c r="A36" s="3" t="s">
        <v>4</v>
      </c>
      <c r="B36" s="4">
        <v>27936.38</v>
      </c>
      <c r="C36" s="4">
        <v>1168.36</v>
      </c>
      <c r="D36" s="4">
        <v>33592.39</v>
      </c>
      <c r="E36" s="4">
        <v>2676.71</v>
      </c>
      <c r="F36" s="4">
        <v>14333.18</v>
      </c>
      <c r="G36" s="4">
        <v>20419.54</v>
      </c>
      <c r="H36" s="4">
        <v>9389.93</v>
      </c>
      <c r="I36" s="4">
        <v>47831.98</v>
      </c>
      <c r="J36" s="4">
        <v>13027.84</v>
      </c>
      <c r="K36" s="4">
        <v>12099.65</v>
      </c>
      <c r="L36" s="4">
        <v>7700.08</v>
      </c>
      <c r="M36" s="4">
        <v>1857.67</v>
      </c>
      <c r="O36" s="4">
        <v>8067.86</v>
      </c>
      <c r="P36" s="4">
        <v>12089.18</v>
      </c>
      <c r="Q36" s="4">
        <v>9369.47</v>
      </c>
      <c r="R36" s="4">
        <v>17560.55</v>
      </c>
      <c r="Z36" s="5">
        <f>average(N36:Y36)</f>
        <v>11771.765</v>
      </c>
    </row>
    <row r="37" ht="15.75" customHeight="1">
      <c r="A37" s="7" t="s">
        <v>5</v>
      </c>
      <c r="B37" s="8">
        <v>0.2</v>
      </c>
      <c r="C37" s="8">
        <v>0.4286</v>
      </c>
      <c r="D37" s="8">
        <v>0.4211</v>
      </c>
      <c r="E37" s="8">
        <v>0.4091</v>
      </c>
      <c r="F37" s="8">
        <v>0.3793</v>
      </c>
      <c r="G37" s="8">
        <v>0.7143</v>
      </c>
      <c r="H37" s="8">
        <v>0.5</v>
      </c>
      <c r="I37" s="8">
        <v>0.2857</v>
      </c>
      <c r="J37" s="8">
        <v>0.625</v>
      </c>
      <c r="K37" s="8">
        <v>0.2609</v>
      </c>
      <c r="L37" s="8">
        <v>0.6364</v>
      </c>
      <c r="M37" s="9"/>
      <c r="N37" s="8">
        <v>0.1429</v>
      </c>
      <c r="O37" s="8">
        <v>0.3333</v>
      </c>
      <c r="P37" s="8">
        <v>0.3333</v>
      </c>
      <c r="Q37" s="8">
        <v>0.303</v>
      </c>
      <c r="R37" s="12">
        <v>0.0606</v>
      </c>
      <c r="S37" s="13"/>
      <c r="T37" s="12"/>
      <c r="U37" s="12"/>
      <c r="V37" s="12"/>
      <c r="W37" s="12"/>
      <c r="X37" s="12"/>
      <c r="Y37" s="12"/>
      <c r="Z37" s="3"/>
    </row>
    <row r="38" ht="15.75" customHeight="1">
      <c r="A38" s="3" t="s">
        <v>6</v>
      </c>
      <c r="B38" s="12">
        <v>0.4375</v>
      </c>
      <c r="C38" s="12">
        <v>0.4</v>
      </c>
      <c r="D38" s="12">
        <v>0.4</v>
      </c>
      <c r="E38" s="12">
        <v>0.4</v>
      </c>
      <c r="F38" s="12">
        <v>0.4167</v>
      </c>
      <c r="G38" s="12">
        <v>0.4</v>
      </c>
      <c r="H38" s="12">
        <v>0.4211</v>
      </c>
      <c r="I38" s="12">
        <v>0.451</v>
      </c>
      <c r="J38" s="12">
        <v>0.5161</v>
      </c>
      <c r="K38" s="12">
        <v>0.5128</v>
      </c>
      <c r="L38" s="12">
        <v>0.3913</v>
      </c>
      <c r="M38" s="12">
        <v>0.46</v>
      </c>
      <c r="N38" s="12">
        <v>0.325</v>
      </c>
      <c r="O38" s="12">
        <v>0.3333</v>
      </c>
      <c r="P38" s="12">
        <v>0.2564</v>
      </c>
      <c r="Q38" s="12">
        <v>0.3238</v>
      </c>
      <c r="R38" s="12">
        <v>0.2432</v>
      </c>
      <c r="S38" s="12">
        <v>0.1974</v>
      </c>
      <c r="T38" s="13">
        <v>0.1667</v>
      </c>
      <c r="U38" s="13">
        <v>0.5</v>
      </c>
      <c r="V38" s="12"/>
      <c r="W38" s="12"/>
      <c r="X38" s="12"/>
      <c r="Y38" s="12"/>
      <c r="Z38" s="12">
        <f>average(R38:Y38)</f>
        <v>0.276825</v>
      </c>
    </row>
    <row r="39" ht="15.75" customHeight="1"/>
    <row r="40" ht="15.75" customHeight="1"/>
    <row r="41" ht="15.75" customHeight="1">
      <c r="A41" s="1" t="s">
        <v>11</v>
      </c>
      <c r="B41" s="2">
        <v>45658.0</v>
      </c>
      <c r="C41" s="2">
        <v>45689.0</v>
      </c>
      <c r="D41" s="2">
        <v>45717.0</v>
      </c>
      <c r="E41" s="2">
        <v>45748.0</v>
      </c>
      <c r="F41" s="2">
        <v>45778.0</v>
      </c>
      <c r="G41" s="2">
        <v>45809.0</v>
      </c>
      <c r="H41" s="2">
        <v>45839.0</v>
      </c>
      <c r="I41" s="2">
        <v>45870.0</v>
      </c>
      <c r="J41" s="2">
        <v>45901.0</v>
      </c>
      <c r="K41" s="2">
        <v>45931.0</v>
      </c>
      <c r="L41" s="3" t="s">
        <v>12</v>
      </c>
      <c r="M41" s="2">
        <v>45992.0</v>
      </c>
      <c r="N41" s="2">
        <v>46023.0</v>
      </c>
      <c r="O41" s="2">
        <v>46054.0</v>
      </c>
      <c r="P41" s="2">
        <v>46082.0</v>
      </c>
      <c r="Q41" s="2">
        <v>46113.0</v>
      </c>
      <c r="R41" s="2">
        <v>46143.0</v>
      </c>
      <c r="S41" s="2">
        <v>46174.0</v>
      </c>
      <c r="T41" s="2">
        <v>46204.0</v>
      </c>
      <c r="U41" s="2">
        <v>46235.0</v>
      </c>
      <c r="V41" s="2">
        <v>46266.0</v>
      </c>
      <c r="W41" s="2">
        <v>46296.0</v>
      </c>
      <c r="X41" s="2">
        <v>46327.0</v>
      </c>
      <c r="Y41" s="2">
        <v>46357.0</v>
      </c>
      <c r="Z41" s="3" t="s">
        <v>1</v>
      </c>
    </row>
    <row r="42" ht="15.75" customHeight="1">
      <c r="A42" s="3" t="s">
        <v>2</v>
      </c>
      <c r="P42" s="4">
        <v>9374.61</v>
      </c>
      <c r="Q42" s="4">
        <v>123258.92</v>
      </c>
      <c r="R42" s="4">
        <v>152476.32</v>
      </c>
      <c r="S42" s="4"/>
      <c r="T42" s="4"/>
      <c r="Z42" s="5">
        <f t="shared" ref="Z42:Z43" si="7">sum(N42:Y42)</f>
        <v>285109.85</v>
      </c>
    </row>
    <row r="43" ht="15.75" customHeight="1">
      <c r="A43" s="3" t="s">
        <v>3</v>
      </c>
      <c r="P43" s="6">
        <v>5.0</v>
      </c>
      <c r="Q43" s="6">
        <v>12.0</v>
      </c>
      <c r="R43" s="6">
        <v>12.0</v>
      </c>
      <c r="S43" s="6"/>
      <c r="T43" s="6"/>
      <c r="Z43" s="3">
        <f t="shared" si="7"/>
        <v>29</v>
      </c>
    </row>
    <row r="44" ht="15.75" customHeight="1">
      <c r="A44" s="3" t="s">
        <v>4</v>
      </c>
      <c r="L44" s="14"/>
      <c r="P44" s="4">
        <v>1874.92</v>
      </c>
      <c r="Q44" s="4">
        <v>10271.58</v>
      </c>
      <c r="R44" s="4">
        <v>12706.36</v>
      </c>
      <c r="Z44" s="5">
        <f>average(N44:Y44)</f>
        <v>8284.286667</v>
      </c>
    </row>
    <row r="45" ht="15.75" customHeight="1">
      <c r="A45" s="7" t="s">
        <v>5</v>
      </c>
      <c r="B45" s="9"/>
      <c r="C45" s="9"/>
      <c r="D45" s="9"/>
      <c r="E45" s="9"/>
      <c r="F45" s="9"/>
      <c r="G45" s="9"/>
      <c r="H45" s="9"/>
      <c r="I45" s="18"/>
      <c r="J45" s="9"/>
      <c r="K45" s="9"/>
      <c r="L45" s="9"/>
      <c r="M45" s="9"/>
      <c r="N45" s="9"/>
      <c r="O45" s="8">
        <v>0.1429</v>
      </c>
      <c r="P45" s="8">
        <v>0.3696</v>
      </c>
      <c r="Q45" s="8">
        <v>0.2222</v>
      </c>
      <c r="R45" s="8">
        <v>0.1724</v>
      </c>
      <c r="S45" s="13">
        <v>0.0714</v>
      </c>
      <c r="T45" s="12"/>
      <c r="U45" s="12"/>
      <c r="V45" s="12"/>
      <c r="W45" s="12"/>
      <c r="X45" s="12"/>
      <c r="Y45" s="12"/>
      <c r="Z45" s="12"/>
    </row>
    <row r="46" ht="15.75" customHeight="1">
      <c r="A46" s="3" t="s">
        <v>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>
        <v>0.1111</v>
      </c>
      <c r="Q46" s="12">
        <v>0.2828</v>
      </c>
      <c r="R46" s="12">
        <v>0.2667</v>
      </c>
      <c r="S46" s="12">
        <v>0.1705</v>
      </c>
      <c r="T46" s="13">
        <v>0.0263</v>
      </c>
      <c r="U46" s="13">
        <v>0.0606</v>
      </c>
      <c r="V46" s="13">
        <v>0.0345</v>
      </c>
      <c r="W46" s="12"/>
      <c r="X46" s="12"/>
      <c r="Y46" s="12"/>
      <c r="Z46" s="12">
        <f>average(R46:Y46)</f>
        <v>0.11172</v>
      </c>
    </row>
    <row r="47" ht="15.75" customHeight="1">
      <c r="Q47" s="12"/>
      <c r="R47" s="12"/>
    </row>
    <row r="48" ht="15.75" customHeight="1"/>
    <row r="49" ht="15.75" customHeight="1">
      <c r="A49" s="1" t="s">
        <v>13</v>
      </c>
      <c r="B49" s="2">
        <v>45658.0</v>
      </c>
      <c r="C49" s="2">
        <v>45689.0</v>
      </c>
      <c r="D49" s="2">
        <v>45717.0</v>
      </c>
      <c r="E49" s="2">
        <v>45748.0</v>
      </c>
      <c r="F49" s="2">
        <v>45778.0</v>
      </c>
      <c r="G49" s="2">
        <v>45809.0</v>
      </c>
      <c r="H49" s="2">
        <v>45839.0</v>
      </c>
      <c r="I49" s="2">
        <v>45870.0</v>
      </c>
      <c r="J49" s="2">
        <v>45901.0</v>
      </c>
      <c r="K49" s="2">
        <v>45931.0</v>
      </c>
      <c r="L49" s="3" t="s">
        <v>12</v>
      </c>
      <c r="M49" s="2">
        <v>45992.0</v>
      </c>
      <c r="N49" s="2">
        <v>46023.0</v>
      </c>
      <c r="O49" s="2">
        <v>46054.0</v>
      </c>
      <c r="P49" s="2">
        <v>46082.0</v>
      </c>
      <c r="Q49" s="2">
        <v>46113.0</v>
      </c>
      <c r="R49" s="2">
        <v>46143.0</v>
      </c>
      <c r="S49" s="2">
        <v>46174.0</v>
      </c>
      <c r="T49" s="2">
        <v>46204.0</v>
      </c>
      <c r="U49" s="2">
        <v>46235.0</v>
      </c>
      <c r="V49" s="2">
        <v>46266.0</v>
      </c>
      <c r="W49" s="2">
        <v>46296.0</v>
      </c>
      <c r="X49" s="2">
        <v>46327.0</v>
      </c>
      <c r="Y49" s="2">
        <v>46357.0</v>
      </c>
      <c r="Z49" s="3" t="s">
        <v>1</v>
      </c>
    </row>
    <row r="50" ht="15.75" customHeight="1">
      <c r="A50" s="3" t="s">
        <v>2</v>
      </c>
      <c r="P50" s="4">
        <v>816.62</v>
      </c>
      <c r="Q50" s="4">
        <v>124770.34</v>
      </c>
      <c r="R50" s="4">
        <v>78978.19</v>
      </c>
      <c r="S50" s="4"/>
      <c r="T50" s="4"/>
      <c r="Z50" s="5">
        <f t="shared" ref="Z50:Z51" si="8">sum(N50:Y50)</f>
        <v>204565.15</v>
      </c>
    </row>
    <row r="51" ht="15.75" customHeight="1">
      <c r="A51" s="3" t="s">
        <v>3</v>
      </c>
      <c r="P51" s="6">
        <v>2.0</v>
      </c>
      <c r="Q51" s="6">
        <v>13.0</v>
      </c>
      <c r="R51" s="6">
        <v>15.0</v>
      </c>
      <c r="S51" s="6"/>
      <c r="T51" s="6"/>
      <c r="Z51" s="3">
        <f t="shared" si="8"/>
        <v>30</v>
      </c>
    </row>
    <row r="52" ht="15.75" customHeight="1">
      <c r="A52" s="3" t="s">
        <v>4</v>
      </c>
      <c r="P52" s="4">
        <v>408.31</v>
      </c>
      <c r="Q52" s="4">
        <v>9597.72</v>
      </c>
      <c r="R52" s="4">
        <v>5265.21</v>
      </c>
      <c r="Z52" s="5">
        <f>average(N52:Y52)</f>
        <v>5090.413333</v>
      </c>
    </row>
    <row r="53" ht="15.75" customHeight="1">
      <c r="A53" s="7" t="s">
        <v>5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8">
        <v>0.3778</v>
      </c>
      <c r="Q53" s="8">
        <v>0.2222</v>
      </c>
      <c r="R53" s="8">
        <v>0.2857</v>
      </c>
      <c r="S53" s="13">
        <v>0.122</v>
      </c>
      <c r="T53" s="12"/>
      <c r="U53" s="12"/>
      <c r="V53" s="12"/>
      <c r="W53" s="12"/>
      <c r="X53" s="12"/>
      <c r="Y53" s="12"/>
      <c r="Z53" s="12"/>
    </row>
    <row r="54" ht="15.75" customHeight="1">
      <c r="A54" s="3" t="s">
        <v>6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>
        <v>0.2727</v>
      </c>
      <c r="R54" s="12">
        <v>0.296</v>
      </c>
      <c r="S54" s="12">
        <v>0.192</v>
      </c>
      <c r="T54" s="13">
        <v>0.1226</v>
      </c>
      <c r="U54" s="13">
        <v>0.1515</v>
      </c>
      <c r="V54" s="13">
        <v>0.1939</v>
      </c>
      <c r="W54" s="12"/>
      <c r="X54" s="12"/>
      <c r="Y54" s="12"/>
      <c r="Z54" s="12">
        <f>average(R54:Y54)</f>
        <v>0.1912</v>
      </c>
    </row>
    <row r="55" ht="15.75" customHeight="1"/>
    <row r="56" ht="15.75" customHeight="1"/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3"/>
    </row>
    <row r="58" ht="15.75" customHeight="1">
      <c r="A58" s="3"/>
      <c r="D58" s="4"/>
      <c r="E58" s="4"/>
      <c r="F58" s="4"/>
      <c r="H58" s="4"/>
      <c r="I58" s="4"/>
      <c r="L58" s="14"/>
      <c r="M58" s="4"/>
      <c r="O58" s="4"/>
      <c r="P58" s="4"/>
      <c r="Q58" s="4"/>
      <c r="R58" s="4"/>
      <c r="S58" s="4"/>
      <c r="T58" s="4"/>
      <c r="Z58" s="5"/>
    </row>
    <row r="59" ht="15.75" customHeight="1">
      <c r="A59" s="3"/>
      <c r="D59" s="6"/>
      <c r="E59" s="6"/>
      <c r="F59" s="6"/>
      <c r="H59" s="6"/>
      <c r="I59" s="6"/>
      <c r="M59" s="6"/>
      <c r="O59" s="6"/>
      <c r="P59" s="6"/>
      <c r="Q59" s="6"/>
      <c r="R59" s="6"/>
      <c r="S59" s="6"/>
      <c r="T59" s="6"/>
      <c r="Z59" s="3"/>
    </row>
    <row r="60" ht="15.75" customHeight="1">
      <c r="A60" s="3"/>
      <c r="D60" s="4"/>
      <c r="E60" s="4"/>
      <c r="F60" s="4"/>
      <c r="H60" s="4"/>
      <c r="I60" s="4"/>
      <c r="M60" s="4"/>
      <c r="O60" s="4"/>
      <c r="P60" s="4"/>
      <c r="Q60" s="4"/>
      <c r="R60" s="4"/>
      <c r="Z60" s="5"/>
    </row>
    <row r="61" ht="15.75" customHeight="1">
      <c r="A61" s="7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3"/>
    </row>
    <row r="62" ht="15.75" customHeight="1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3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3"/>
    </row>
    <row r="64" ht="15.75" customHeight="1">
      <c r="B64" s="2">
        <v>45658.0</v>
      </c>
      <c r="C64" s="2">
        <v>45689.0</v>
      </c>
      <c r="D64" s="2">
        <v>45717.0</v>
      </c>
      <c r="E64" s="2">
        <v>45748.0</v>
      </c>
      <c r="F64" s="2">
        <v>45778.0</v>
      </c>
      <c r="G64" s="2">
        <v>45809.0</v>
      </c>
      <c r="H64" s="2">
        <v>45839.0</v>
      </c>
      <c r="I64" s="2">
        <v>45870.0</v>
      </c>
      <c r="J64" s="2">
        <v>45901.0</v>
      </c>
      <c r="K64" s="2">
        <v>45931.0</v>
      </c>
      <c r="L64" s="3" t="s">
        <v>12</v>
      </c>
      <c r="M64" s="2">
        <v>45992.0</v>
      </c>
      <c r="N64" s="2">
        <v>46023.0</v>
      </c>
      <c r="O64" s="2">
        <v>46054.0</v>
      </c>
      <c r="P64" s="2">
        <v>46082.0</v>
      </c>
      <c r="Q64" s="2">
        <v>46113.0</v>
      </c>
      <c r="R64" s="2">
        <v>46143.0</v>
      </c>
      <c r="S64" s="2">
        <v>46174.0</v>
      </c>
      <c r="T64" s="2">
        <v>46204.0</v>
      </c>
      <c r="U64" s="2">
        <v>46235.0</v>
      </c>
      <c r="V64" s="2">
        <v>46266.0</v>
      </c>
      <c r="W64" s="2">
        <v>46296.0</v>
      </c>
      <c r="X64" s="2">
        <v>46327.0</v>
      </c>
      <c r="Y64" s="2">
        <v>46357.0</v>
      </c>
      <c r="Z64" s="3" t="s">
        <v>1</v>
      </c>
    </row>
    <row r="65" ht="15.75" customHeight="1">
      <c r="A65" s="3" t="s">
        <v>2</v>
      </c>
      <c r="B65" s="5">
        <f t="shared" ref="B65:R65" si="9">sum(B58,B50,B42,B34,B26,B18,B10,B2)</f>
        <v>89497.5</v>
      </c>
      <c r="C65" s="5">
        <f t="shared" si="9"/>
        <v>96780.4</v>
      </c>
      <c r="D65" s="5">
        <f t="shared" si="9"/>
        <v>266085.41</v>
      </c>
      <c r="E65" s="5">
        <f t="shared" si="9"/>
        <v>174339.54</v>
      </c>
      <c r="F65" s="5">
        <f t="shared" si="9"/>
        <v>454397.81</v>
      </c>
      <c r="G65" s="5">
        <f t="shared" si="9"/>
        <v>732280.47</v>
      </c>
      <c r="H65" s="5">
        <f t="shared" si="9"/>
        <v>577977.59</v>
      </c>
      <c r="I65" s="5">
        <f t="shared" si="9"/>
        <v>314768.92</v>
      </c>
      <c r="J65" s="5">
        <f t="shared" si="9"/>
        <v>337890.59</v>
      </c>
      <c r="K65" s="5">
        <f t="shared" si="9"/>
        <v>691198.5</v>
      </c>
      <c r="L65" s="5">
        <f t="shared" si="9"/>
        <v>265364.49</v>
      </c>
      <c r="M65" s="5">
        <f t="shared" si="9"/>
        <v>120054.95</v>
      </c>
      <c r="N65" s="5">
        <f t="shared" si="9"/>
        <v>165703.1</v>
      </c>
      <c r="O65" s="5">
        <f t="shared" si="9"/>
        <v>63070.38</v>
      </c>
      <c r="P65" s="5">
        <f t="shared" si="9"/>
        <v>366951.73</v>
      </c>
      <c r="Q65" s="5">
        <f t="shared" si="9"/>
        <v>1238188.94</v>
      </c>
      <c r="R65" s="5">
        <f t="shared" si="9"/>
        <v>1122433.97</v>
      </c>
      <c r="S65" s="19"/>
      <c r="T65" s="19"/>
      <c r="U65" s="3"/>
      <c r="V65" s="3"/>
      <c r="W65" s="3"/>
      <c r="X65" s="3"/>
      <c r="Y65" s="3"/>
      <c r="Z65" s="5">
        <f>sum(N65:Y65)</f>
        <v>2956348.12</v>
      </c>
    </row>
    <row r="66" ht="15.75" customHeight="1">
      <c r="A66" s="3" t="s">
        <v>14</v>
      </c>
      <c r="B66" s="5">
        <f t="shared" ref="B66:R66" si="10">average(B58,B50,B42,B34,B26,B18,B10,B2)</f>
        <v>44748.75</v>
      </c>
      <c r="C66" s="5">
        <f t="shared" si="10"/>
        <v>24195.1</v>
      </c>
      <c r="D66" s="5">
        <f t="shared" si="10"/>
        <v>66521.3525</v>
      </c>
      <c r="E66" s="5">
        <f t="shared" si="10"/>
        <v>34867.908</v>
      </c>
      <c r="F66" s="5">
        <f t="shared" si="10"/>
        <v>90879.562</v>
      </c>
      <c r="G66" s="5">
        <f t="shared" si="10"/>
        <v>146456.094</v>
      </c>
      <c r="H66" s="5">
        <f t="shared" si="10"/>
        <v>115595.518</v>
      </c>
      <c r="I66" s="5">
        <f t="shared" si="10"/>
        <v>62953.784</v>
      </c>
      <c r="J66" s="5">
        <f t="shared" si="10"/>
        <v>67578.118</v>
      </c>
      <c r="K66" s="5">
        <f t="shared" si="10"/>
        <v>138239.7</v>
      </c>
      <c r="L66" s="5">
        <f t="shared" si="10"/>
        <v>53072.898</v>
      </c>
      <c r="M66" s="5">
        <f t="shared" si="10"/>
        <v>24010.99</v>
      </c>
      <c r="N66" s="5">
        <f t="shared" si="10"/>
        <v>55234.36667</v>
      </c>
      <c r="O66" s="5">
        <f t="shared" si="10"/>
        <v>15767.595</v>
      </c>
      <c r="P66" s="5">
        <f t="shared" si="10"/>
        <v>52421.67571</v>
      </c>
      <c r="Q66" s="5">
        <f t="shared" si="10"/>
        <v>176884.1343</v>
      </c>
      <c r="R66" s="5">
        <f t="shared" si="10"/>
        <v>160347.71</v>
      </c>
      <c r="S66" s="3"/>
      <c r="T66" s="3"/>
      <c r="U66" s="3"/>
      <c r="V66" s="3"/>
      <c r="W66" s="3"/>
      <c r="X66" s="3"/>
      <c r="Y66" s="3"/>
      <c r="Z66" s="5">
        <f>average(Z58,Z50,Z42,Z34,Z26,Z18,Z10,Z2)</f>
        <v>422335.4457</v>
      </c>
    </row>
    <row r="67" ht="15.75" customHeight="1">
      <c r="A67" s="3" t="s">
        <v>3</v>
      </c>
      <c r="B67" s="20">
        <f t="shared" ref="B67:R67" si="11">AVERAGE(B59,B51,B43,B35,B27,B19,B11,B3)</f>
        <v>2</v>
      </c>
      <c r="C67" s="20">
        <f t="shared" si="11"/>
        <v>1.75</v>
      </c>
      <c r="D67" s="20">
        <f t="shared" si="11"/>
        <v>4</v>
      </c>
      <c r="E67" s="20">
        <f t="shared" si="11"/>
        <v>4.6</v>
      </c>
      <c r="F67" s="20">
        <f t="shared" si="11"/>
        <v>7.4</v>
      </c>
      <c r="G67" s="20">
        <f t="shared" si="11"/>
        <v>12</v>
      </c>
      <c r="H67" s="20">
        <f t="shared" si="11"/>
        <v>8.2</v>
      </c>
      <c r="I67" s="20">
        <f t="shared" si="11"/>
        <v>6.4</v>
      </c>
      <c r="J67" s="20">
        <f t="shared" si="11"/>
        <v>7.2</v>
      </c>
      <c r="K67" s="20">
        <f t="shared" si="11"/>
        <v>14.2</v>
      </c>
      <c r="L67" s="20">
        <f t="shared" si="11"/>
        <v>7</v>
      </c>
      <c r="M67" s="20">
        <f t="shared" si="11"/>
        <v>4</v>
      </c>
      <c r="N67" s="20">
        <f t="shared" si="11"/>
        <v>5.666666667</v>
      </c>
      <c r="O67" s="20">
        <f t="shared" si="11"/>
        <v>3.75</v>
      </c>
      <c r="P67" s="20">
        <f t="shared" si="11"/>
        <v>7.714285714</v>
      </c>
      <c r="Q67" s="20">
        <f t="shared" si="11"/>
        <v>16.85714286</v>
      </c>
      <c r="R67" s="20">
        <f t="shared" si="11"/>
        <v>12.28571429</v>
      </c>
      <c r="S67" s="3"/>
      <c r="T67" s="3"/>
      <c r="U67" s="3"/>
      <c r="V67" s="3"/>
      <c r="W67" s="3"/>
      <c r="X67" s="3"/>
      <c r="Y67" s="3"/>
      <c r="Z67" s="20">
        <f>sum(N67:Y67)</f>
        <v>46.27380952</v>
      </c>
    </row>
    <row r="68" ht="15.75" customHeight="1">
      <c r="A68" s="3" t="s">
        <v>4</v>
      </c>
      <c r="B68" s="5">
        <f t="shared" ref="B68:R68" si="12">AVERAGE(B60,B52,B44,B36,B28,B20,B12,B4)</f>
        <v>22374.375</v>
      </c>
      <c r="C68" s="5">
        <f t="shared" si="12"/>
        <v>14428.8725</v>
      </c>
      <c r="D68" s="5">
        <f t="shared" si="12"/>
        <v>20022.7475</v>
      </c>
      <c r="E68" s="5">
        <f t="shared" si="12"/>
        <v>12879.358</v>
      </c>
      <c r="F68" s="5">
        <f t="shared" si="12"/>
        <v>10576.564</v>
      </c>
      <c r="G68" s="5">
        <f t="shared" si="12"/>
        <v>14472.008</v>
      </c>
      <c r="H68" s="5">
        <f t="shared" si="12"/>
        <v>17632.932</v>
      </c>
      <c r="I68" s="5">
        <f t="shared" si="12"/>
        <v>16201.158</v>
      </c>
      <c r="J68" s="5">
        <f t="shared" si="12"/>
        <v>10893.582</v>
      </c>
      <c r="K68" s="5">
        <f t="shared" si="12"/>
        <v>10478.64</v>
      </c>
      <c r="L68" s="5">
        <f t="shared" si="12"/>
        <v>7528.564</v>
      </c>
      <c r="M68" s="5">
        <f t="shared" si="12"/>
        <v>6484.368</v>
      </c>
      <c r="N68" s="5">
        <f t="shared" si="12"/>
        <v>10965.62667</v>
      </c>
      <c r="O68" s="5">
        <f t="shared" si="12"/>
        <v>7259.26</v>
      </c>
      <c r="P68" s="5">
        <f t="shared" si="12"/>
        <v>6149.781429</v>
      </c>
      <c r="Q68" s="5">
        <f t="shared" si="12"/>
        <v>10070.49286</v>
      </c>
      <c r="R68" s="5">
        <f t="shared" si="12"/>
        <v>13479.04857</v>
      </c>
      <c r="S68" s="3"/>
      <c r="T68" s="3"/>
      <c r="U68" s="3"/>
      <c r="V68" s="3"/>
      <c r="W68" s="3"/>
      <c r="X68" s="3"/>
      <c r="Y68" s="3"/>
      <c r="Z68" s="5">
        <f>average(N68:Y68)</f>
        <v>9584.841905</v>
      </c>
    </row>
    <row r="69" ht="15.75" customHeight="1">
      <c r="A69" s="7" t="s">
        <v>15</v>
      </c>
      <c r="B69" s="12">
        <f t="shared" ref="B69:S69" si="13">average(B53,B45,B37,B29,B21,B13,B5)</f>
        <v>0.3444333333</v>
      </c>
      <c r="C69" s="12">
        <f t="shared" si="13"/>
        <v>0.309525</v>
      </c>
      <c r="D69" s="12">
        <f t="shared" si="13"/>
        <v>0.42125</v>
      </c>
      <c r="E69" s="12">
        <f t="shared" si="13"/>
        <v>0.42478</v>
      </c>
      <c r="F69" s="12">
        <f t="shared" si="13"/>
        <v>0.40488</v>
      </c>
      <c r="G69" s="12">
        <f t="shared" si="13"/>
        <v>0.45414</v>
      </c>
      <c r="H69" s="12">
        <f t="shared" si="13"/>
        <v>0.40556</v>
      </c>
      <c r="I69" s="12">
        <f t="shared" si="13"/>
        <v>0.31688</v>
      </c>
      <c r="J69" s="12">
        <f t="shared" si="13"/>
        <v>0.41248</v>
      </c>
      <c r="K69" s="12">
        <f t="shared" si="13"/>
        <v>0.29162</v>
      </c>
      <c r="L69" s="12">
        <f t="shared" si="13"/>
        <v>0.35694</v>
      </c>
      <c r="M69" s="12">
        <f t="shared" si="13"/>
        <v>0.3687333333</v>
      </c>
      <c r="N69" s="12">
        <f t="shared" si="13"/>
        <v>0.26642</v>
      </c>
      <c r="O69" s="12">
        <f t="shared" si="13"/>
        <v>0.2291666667</v>
      </c>
      <c r="P69" s="12">
        <f t="shared" si="13"/>
        <v>0.3634</v>
      </c>
      <c r="Q69" s="12">
        <f t="shared" si="13"/>
        <v>0.2847571429</v>
      </c>
      <c r="R69" s="12">
        <f t="shared" si="13"/>
        <v>0.15246</v>
      </c>
      <c r="S69" s="12">
        <f t="shared" si="13"/>
        <v>0.1193333333</v>
      </c>
      <c r="T69" s="12"/>
      <c r="U69" s="3"/>
      <c r="V69" s="3"/>
      <c r="W69" s="3"/>
      <c r="X69" s="3"/>
      <c r="Y69" s="3"/>
      <c r="Z69" s="12">
        <f>average(R69:Y69)</f>
        <v>0.1358966667</v>
      </c>
    </row>
    <row r="70" ht="15.75" customHeight="1">
      <c r="A70" s="3" t="s">
        <v>16</v>
      </c>
      <c r="B70" s="12">
        <f t="shared" ref="B70:T70" si="14">AVERAGE(B54,B46,B38,B30,B22,B14,B6)</f>
        <v>0.50445</v>
      </c>
      <c r="C70" s="12">
        <f t="shared" si="14"/>
        <v>0.366525</v>
      </c>
      <c r="D70" s="12">
        <f t="shared" si="14"/>
        <v>0.30455</v>
      </c>
      <c r="E70" s="12">
        <f t="shared" si="14"/>
        <v>0.38494</v>
      </c>
      <c r="F70" s="12">
        <f t="shared" si="14"/>
        <v>0.40984</v>
      </c>
      <c r="G70" s="12">
        <f t="shared" si="14"/>
        <v>0.4393</v>
      </c>
      <c r="H70" s="12">
        <f t="shared" si="14"/>
        <v>0.42082</v>
      </c>
      <c r="I70" s="12">
        <f t="shared" si="14"/>
        <v>0.4131</v>
      </c>
      <c r="J70" s="12">
        <f t="shared" si="14"/>
        <v>0.3999</v>
      </c>
      <c r="K70" s="12">
        <f t="shared" si="14"/>
        <v>0.38592</v>
      </c>
      <c r="L70" s="12">
        <f t="shared" si="14"/>
        <v>0.33754</v>
      </c>
      <c r="M70" s="12">
        <f t="shared" si="14"/>
        <v>0.34014</v>
      </c>
      <c r="N70" s="12">
        <f t="shared" si="14"/>
        <v>0.30044</v>
      </c>
      <c r="O70" s="12">
        <f t="shared" si="14"/>
        <v>0.30184</v>
      </c>
      <c r="P70" s="12">
        <f t="shared" si="14"/>
        <v>0.2368833333</v>
      </c>
      <c r="Q70" s="12">
        <f t="shared" si="14"/>
        <v>0.3044714286</v>
      </c>
      <c r="R70" s="12">
        <f t="shared" si="14"/>
        <v>0.2830428571</v>
      </c>
      <c r="S70" s="12">
        <f t="shared" si="14"/>
        <v>0.2062</v>
      </c>
      <c r="T70" s="12">
        <f t="shared" si="14"/>
        <v>0.1003714286</v>
      </c>
      <c r="U70" s="12">
        <f t="shared" ref="U70:V70" si="15">AVERAGE(U54,U46,U30,U22,U14,U6)</f>
        <v>0.1202</v>
      </c>
      <c r="V70" s="12">
        <f t="shared" si="15"/>
        <v>0.1264166667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>
      <c r="B79" s="1"/>
      <c r="S79" s="12"/>
    </row>
    <row r="80" ht="15.75" customHeight="1">
      <c r="B80" s="1"/>
      <c r="S80" s="12"/>
    </row>
    <row r="81" ht="15.75" customHeight="1">
      <c r="B81" s="1"/>
      <c r="S81" s="12"/>
    </row>
    <row r="82" ht="15.75" customHeight="1">
      <c r="B82" s="1"/>
      <c r="S82" s="12"/>
    </row>
    <row r="83" ht="15.75" customHeight="1">
      <c r="B83" s="1"/>
      <c r="S83" s="12"/>
    </row>
    <row r="84" ht="15.75" customHeight="1">
      <c r="B84" s="1"/>
      <c r="S84" s="12"/>
    </row>
    <row r="85" ht="15.75" customHeight="1">
      <c r="S85" s="12"/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>
      <c r="B109" s="3" t="s">
        <v>17</v>
      </c>
      <c r="C109" s="12" t="str">
        <f t="shared" ref="C109:R109" si="16">average(C79:C84)</f>
        <v>#DIV/0!</v>
      </c>
      <c r="D109" s="12" t="str">
        <f t="shared" si="16"/>
        <v>#DIV/0!</v>
      </c>
      <c r="E109" s="12" t="str">
        <f t="shared" si="16"/>
        <v>#DIV/0!</v>
      </c>
      <c r="F109" s="12" t="str">
        <f t="shared" si="16"/>
        <v>#DIV/0!</v>
      </c>
      <c r="G109" s="12" t="str">
        <f t="shared" si="16"/>
        <v>#DIV/0!</v>
      </c>
      <c r="H109" s="12" t="str">
        <f t="shared" si="16"/>
        <v>#DIV/0!</v>
      </c>
      <c r="I109" s="12" t="str">
        <f t="shared" si="16"/>
        <v>#DIV/0!</v>
      </c>
      <c r="J109" s="12" t="str">
        <f t="shared" si="16"/>
        <v>#DIV/0!</v>
      </c>
      <c r="K109" s="12" t="str">
        <f t="shared" si="16"/>
        <v>#DIV/0!</v>
      </c>
      <c r="L109" s="12" t="str">
        <f t="shared" si="16"/>
        <v>#DIV/0!</v>
      </c>
      <c r="M109" s="12" t="str">
        <f t="shared" si="16"/>
        <v>#DIV/0!</v>
      </c>
      <c r="N109" s="12" t="str">
        <f t="shared" si="16"/>
        <v>#DIV/0!</v>
      </c>
      <c r="O109" s="12" t="str">
        <f t="shared" si="16"/>
        <v>#DIV/0!</v>
      </c>
      <c r="P109" s="12" t="str">
        <f t="shared" si="16"/>
        <v>#DIV/0!</v>
      </c>
      <c r="Q109" s="12" t="str">
        <f t="shared" si="16"/>
        <v>#DIV/0!</v>
      </c>
      <c r="R109" s="12" t="str">
        <f t="shared" si="16"/>
        <v>#DIV/0!</v>
      </c>
    </row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